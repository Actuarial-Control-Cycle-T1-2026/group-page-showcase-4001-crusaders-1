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lesh Anantha-Siva\Documents\university\Actuary\actl 4001\Assignment files\"/>
    </mc:Choice>
  </mc:AlternateContent>
  <xr:revisionPtr revIDLastSave="0" documentId="13_ncr:1_{758ED839-0C09-4612-8ED0-21B3F2EF01B2}" xr6:coauthVersionLast="47" xr6:coauthVersionMax="47" xr10:uidLastSave="{00000000-0000-0000-0000-000000000000}"/>
  <bookViews>
    <workbookView xWindow="-120" yWindow="-120" windowWidth="20730" windowHeight="11040" xr2:uid="{22B54475-9E73-44E3-BCE7-508B063349B4}"/>
  </bookViews>
  <sheets>
    <sheet name="miscellaenous" sheetId="1" r:id="rId1"/>
    <sheet name="helionis premium" sheetId="2" r:id="rId2"/>
    <sheet name="bayesia premium" sheetId="5" r:id="rId3"/>
    <sheet name="oryn premium" sheetId="6" r:id="rId4"/>
    <sheet name="combined premium breakup" sheetId="12" r:id="rId5"/>
    <sheet name="loss and return-short" sheetId="7" r:id="rId6"/>
    <sheet name="loss and return-long" sheetId="8" r:id="rId7"/>
    <sheet name="moderate stress" sheetId="10" r:id="rId8"/>
    <sheet name="extreme stress" sheetId="11" r:id="rId9"/>
  </sheets>
  <calcPr calcId="191029"/>
  <pivotCaches>
    <pivotCache cacheId="3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" i="11" l="1"/>
  <c r="K2" i="11" s="1"/>
  <c r="K3" i="11"/>
  <c r="K5" i="11"/>
  <c r="Q2" i="10"/>
  <c r="K2" i="10"/>
  <c r="K3" i="10"/>
  <c r="K4" i="10"/>
  <c r="K5" i="10"/>
  <c r="K6" i="10"/>
  <c r="K2" i="8"/>
  <c r="K3" i="8"/>
  <c r="K4" i="8"/>
  <c r="K5" i="8"/>
  <c r="K6" i="8"/>
  <c r="K7" i="8"/>
  <c r="K8" i="8"/>
  <c r="P2" i="8"/>
  <c r="K3" i="7"/>
  <c r="K4" i="7"/>
  <c r="K5" i="7"/>
  <c r="K6" i="7"/>
  <c r="K7" i="7"/>
  <c r="K8" i="7"/>
  <c r="I2" i="7"/>
  <c r="J2" i="7"/>
  <c r="K2" i="7"/>
  <c r="E2" i="12"/>
  <c r="E4" i="12"/>
  <c r="E5" i="12"/>
  <c r="E6" i="12"/>
  <c r="E7" i="12"/>
  <c r="E8" i="12"/>
  <c r="E9" i="12"/>
  <c r="E10" i="12"/>
  <c r="E11" i="12"/>
  <c r="E12" i="12"/>
  <c r="E3" i="12"/>
  <c r="P5" i="12"/>
  <c r="J6" i="11"/>
  <c r="I6" i="11"/>
  <c r="H6" i="11"/>
  <c r="J5" i="11"/>
  <c r="I5" i="11"/>
  <c r="H5" i="11"/>
  <c r="J4" i="11"/>
  <c r="I4" i="11"/>
  <c r="H4" i="11"/>
  <c r="J3" i="11"/>
  <c r="I3" i="11"/>
  <c r="H3" i="11"/>
  <c r="J2" i="11"/>
  <c r="I2" i="11"/>
  <c r="H2" i="11"/>
  <c r="J6" i="10"/>
  <c r="I6" i="10"/>
  <c r="H6" i="10"/>
  <c r="J5" i="10"/>
  <c r="I5" i="10"/>
  <c r="H5" i="10"/>
  <c r="J4" i="10"/>
  <c r="I4" i="10"/>
  <c r="H4" i="10"/>
  <c r="J3" i="10"/>
  <c r="I3" i="10"/>
  <c r="H3" i="10"/>
  <c r="J2" i="10"/>
  <c r="I2" i="10"/>
  <c r="H2" i="10"/>
  <c r="C8" i="5"/>
  <c r="D8" i="5"/>
  <c r="E8" i="5"/>
  <c r="F8" i="5"/>
  <c r="B8" i="5"/>
  <c r="F8" i="2"/>
  <c r="E8" i="2"/>
  <c r="D8" i="2"/>
  <c r="C8" i="2"/>
  <c r="B8" i="2"/>
  <c r="C8" i="6"/>
  <c r="D8" i="6"/>
  <c r="E8" i="6"/>
  <c r="F8" i="6"/>
  <c r="B8" i="6"/>
  <c r="H7" i="6"/>
  <c r="H7" i="5"/>
  <c r="C7" i="5"/>
  <c r="D7" i="5"/>
  <c r="E7" i="5"/>
  <c r="F7" i="5"/>
  <c r="H7" i="2"/>
  <c r="C7" i="2"/>
  <c r="D7" i="2"/>
  <c r="E7" i="2"/>
  <c r="F7" i="2"/>
  <c r="B7" i="2"/>
  <c r="B7" i="5"/>
  <c r="C7" i="6"/>
  <c r="D7" i="6"/>
  <c r="E7" i="6"/>
  <c r="F7" i="6"/>
  <c r="B7" i="6"/>
  <c r="D5" i="1"/>
  <c r="Q2" i="7"/>
  <c r="K1" i="12" s="1" a="1"/>
  <c r="K1" i="12" s="1"/>
  <c r="J8" i="8"/>
  <c r="I8" i="8"/>
  <c r="H8" i="8"/>
  <c r="J7" i="8"/>
  <c r="I7" i="8"/>
  <c r="H7" i="8"/>
  <c r="J6" i="8"/>
  <c r="I6" i="8"/>
  <c r="H6" i="8"/>
  <c r="J5" i="8"/>
  <c r="I5" i="8"/>
  <c r="H5" i="8"/>
  <c r="J4" i="8"/>
  <c r="I4" i="8"/>
  <c r="H4" i="8"/>
  <c r="J3" i="8"/>
  <c r="I3" i="8"/>
  <c r="H3" i="8"/>
  <c r="J2" i="8"/>
  <c r="I2" i="8"/>
  <c r="H2" i="8"/>
  <c r="H5" i="7"/>
  <c r="I5" i="7"/>
  <c r="J5" i="7"/>
  <c r="H6" i="7"/>
  <c r="I6" i="7"/>
  <c r="J6" i="7"/>
  <c r="H7" i="7"/>
  <c r="I7" i="7"/>
  <c r="J7" i="7"/>
  <c r="H8" i="7"/>
  <c r="I8" i="7"/>
  <c r="J8" i="7"/>
  <c r="I4" i="7"/>
  <c r="J4" i="7"/>
  <c r="H4" i="7"/>
  <c r="H2" i="7"/>
  <c r="I3" i="7"/>
  <c r="J3" i="7"/>
  <c r="H3" i="7"/>
  <c r="H5" i="6"/>
  <c r="F4" i="6"/>
  <c r="F6" i="6" s="1"/>
  <c r="E4" i="6"/>
  <c r="E6" i="6" s="1"/>
  <c r="D4" i="6"/>
  <c r="D6" i="6" s="1"/>
  <c r="C4" i="6"/>
  <c r="C6" i="6" s="1"/>
  <c r="B4" i="6"/>
  <c r="B6" i="6" s="1"/>
  <c r="H3" i="6"/>
  <c r="H2" i="6"/>
  <c r="H5" i="5"/>
  <c r="F4" i="5"/>
  <c r="F6" i="5" s="1"/>
  <c r="E4" i="5"/>
  <c r="E6" i="5" s="1"/>
  <c r="D4" i="5"/>
  <c r="D6" i="5" s="1"/>
  <c r="C4" i="5"/>
  <c r="C6" i="5" s="1"/>
  <c r="B4" i="5"/>
  <c r="B6" i="5" s="1"/>
  <c r="H3" i="5"/>
  <c r="H2" i="5"/>
  <c r="H3" i="2"/>
  <c r="H5" i="2"/>
  <c r="H2" i="2"/>
  <c r="C4" i="2"/>
  <c r="D4" i="2"/>
  <c r="D6" i="2" s="1"/>
  <c r="E4" i="2"/>
  <c r="E6" i="2" s="1"/>
  <c r="F4" i="2"/>
  <c r="F6" i="2" s="1"/>
  <c r="B4" i="2"/>
  <c r="B6" i="2" s="1"/>
  <c r="B2" i="1"/>
  <c r="B3" i="1" s="1"/>
  <c r="B6" i="1" s="1"/>
  <c r="C2" i="1"/>
  <c r="C3" i="1" s="1"/>
  <c r="C6" i="1" s="1"/>
  <c r="D2" i="1"/>
  <c r="D3" i="1" s="1"/>
  <c r="D6" i="1" s="1"/>
  <c r="C5" i="1" l="1"/>
  <c r="B5" i="1"/>
  <c r="K6" i="11"/>
  <c r="K4" i="11"/>
  <c r="M3" i="12"/>
  <c r="M4" i="12"/>
  <c r="N5" i="12"/>
  <c r="M2" i="12"/>
  <c r="M5" i="12"/>
  <c r="F9" i="6"/>
  <c r="F10" i="6" s="1"/>
  <c r="F11" i="6" s="1"/>
  <c r="F12" i="6" s="1"/>
  <c r="F14" i="6" s="1"/>
  <c r="F15" i="6" s="1"/>
  <c r="D9" i="6"/>
  <c r="D10" i="6" s="1"/>
  <c r="D11" i="6" s="1"/>
  <c r="D12" i="6" s="1"/>
  <c r="D14" i="6" s="1"/>
  <c r="D16" i="6" s="1"/>
  <c r="B9" i="6"/>
  <c r="C9" i="6"/>
  <c r="C10" i="6" s="1"/>
  <c r="C11" i="6" s="1"/>
  <c r="C12" i="6" s="1"/>
  <c r="C14" i="6" s="1"/>
  <c r="C16" i="6" s="1"/>
  <c r="E9" i="6"/>
  <c r="E10" i="6" s="1"/>
  <c r="E11" i="6" s="1"/>
  <c r="E12" i="6" s="1"/>
  <c r="E14" i="6" s="1"/>
  <c r="E16" i="6" s="1"/>
  <c r="F9" i="5"/>
  <c r="F10" i="5" s="1"/>
  <c r="F11" i="5" s="1"/>
  <c r="F12" i="5" s="1"/>
  <c r="F14" i="5" s="1"/>
  <c r="F15" i="5" s="1"/>
  <c r="C9" i="5"/>
  <c r="C10" i="5" s="1"/>
  <c r="C11" i="5" s="1"/>
  <c r="C12" i="5" s="1"/>
  <c r="C14" i="5" s="1"/>
  <c r="C15" i="5" s="1"/>
  <c r="F9" i="2"/>
  <c r="F10" i="2" s="1"/>
  <c r="F11" i="2" s="1"/>
  <c r="F12" i="2" s="1"/>
  <c r="F14" i="2" s="1"/>
  <c r="E9" i="2"/>
  <c r="E10" i="2" s="1"/>
  <c r="E11" i="2" s="1"/>
  <c r="E12" i="2" s="1"/>
  <c r="E14" i="2" s="1"/>
  <c r="D9" i="2"/>
  <c r="D10" i="2" s="1"/>
  <c r="D11" i="2" s="1"/>
  <c r="D12" i="2" s="1"/>
  <c r="D14" i="2" s="1"/>
  <c r="B9" i="5"/>
  <c r="B10" i="5" s="1"/>
  <c r="B9" i="2"/>
  <c r="B10" i="2" s="1"/>
  <c r="B11" i="2" s="1"/>
  <c r="B12" i="2" s="1"/>
  <c r="B14" i="2" s="1"/>
  <c r="B15" i="2" s="1"/>
  <c r="D9" i="5"/>
  <c r="D10" i="5" s="1"/>
  <c r="D11" i="5" s="1"/>
  <c r="D12" i="5" s="1"/>
  <c r="D14" i="5" s="1"/>
  <c r="D16" i="5" s="1"/>
  <c r="E9" i="5"/>
  <c r="E10" i="5" s="1"/>
  <c r="E11" i="5" s="1"/>
  <c r="E12" i="5" s="1"/>
  <c r="E14" i="5" s="1"/>
  <c r="E16" i="5" s="1"/>
  <c r="D15" i="6"/>
  <c r="F16" i="6"/>
  <c r="H6" i="6"/>
  <c r="B10" i="6"/>
  <c r="H4" i="6"/>
  <c r="I4" i="6"/>
  <c r="H8" i="6"/>
  <c r="F16" i="5"/>
  <c r="H6" i="5"/>
  <c r="H4" i="5"/>
  <c r="I4" i="5"/>
  <c r="H8" i="5"/>
  <c r="H4" i="2"/>
  <c r="I4" i="2"/>
  <c r="C6" i="2"/>
  <c r="H9" i="6" l="1"/>
  <c r="E15" i="6"/>
  <c r="C16" i="5"/>
  <c r="C15" i="6"/>
  <c r="H6" i="2"/>
  <c r="D16" i="2"/>
  <c r="D15" i="2"/>
  <c r="E16" i="2"/>
  <c r="E15" i="2"/>
  <c r="F16" i="2"/>
  <c r="F15" i="2"/>
  <c r="B16" i="2"/>
  <c r="H9" i="5"/>
  <c r="E15" i="5"/>
  <c r="D15" i="5"/>
  <c r="B11" i="6"/>
  <c r="H10" i="6"/>
  <c r="B11" i="5"/>
  <c r="H10" i="5"/>
  <c r="C9" i="2"/>
  <c r="H8" i="2"/>
  <c r="H11" i="6" l="1"/>
  <c r="B12" i="6"/>
  <c r="H11" i="5"/>
  <c r="B12" i="5"/>
  <c r="C10" i="2"/>
  <c r="H9" i="2"/>
  <c r="B14" i="6" l="1"/>
  <c r="H12" i="6"/>
  <c r="B14" i="5"/>
  <c r="H12" i="5"/>
  <c r="C11" i="2"/>
  <c r="H10" i="2"/>
  <c r="H14" i="6" l="1"/>
  <c r="B16" i="6"/>
  <c r="B15" i="6"/>
  <c r="H14" i="5"/>
  <c r="B16" i="5"/>
  <c r="B15" i="5"/>
  <c r="C12" i="2"/>
  <c r="H11" i="2"/>
  <c r="H15" i="6" l="1"/>
  <c r="H16" i="6"/>
  <c r="H15" i="5"/>
  <c r="H16" i="5"/>
  <c r="C14" i="2"/>
  <c r="H12" i="2"/>
  <c r="C16" i="2" l="1"/>
  <c r="C15" i="2"/>
  <c r="H14" i="2"/>
  <c r="H16" i="2" l="1"/>
  <c r="H1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<sst xmlns="http://schemas.openxmlformats.org/spreadsheetml/2006/main" count="206" uniqueCount="57">
  <si>
    <t>Solar system</t>
  </si>
  <si>
    <t>Helionis</t>
  </si>
  <si>
    <t>Bayesia</t>
  </si>
  <si>
    <t>Oryn</t>
  </si>
  <si>
    <t>Current ore production (tons 000's)</t>
  </si>
  <si>
    <t>Ore production with expansion (tons 000's)</t>
  </si>
  <si>
    <t>Capacity of entire fleet (tons 000's)</t>
  </si>
  <si>
    <t>Trips per fleet vessel</t>
  </si>
  <si>
    <t>Deductible</t>
  </si>
  <si>
    <t>Row Labels</t>
  </si>
  <si>
    <t>Column Labels</t>
  </si>
  <si>
    <t>Sum of Expected_loss</t>
  </si>
  <si>
    <t>Policy limit</t>
  </si>
  <si>
    <t>Vessels insured</t>
  </si>
  <si>
    <t>DeepSpace Haul Box</t>
  </si>
  <si>
    <t>DockArc Freight Case</t>
  </si>
  <si>
    <t>LongHaul Value Canister</t>
  </si>
  <si>
    <t>Quantum Crate Module</t>
  </si>
  <si>
    <t>Hardseal Transit Crate</t>
  </si>
  <si>
    <t>Pure premium</t>
  </si>
  <si>
    <t>Buhlmann credibiltiy premium</t>
  </si>
  <si>
    <t>+Cost of capital (7.46%)</t>
  </si>
  <si>
    <t>Final premium</t>
  </si>
  <si>
    <t>Loss ratio</t>
  </si>
  <si>
    <t>+Operational expenses (5% of final premium)</t>
  </si>
  <si>
    <t>Premium/vessel</t>
  </si>
  <si>
    <t>Premium per vessel</t>
  </si>
  <si>
    <t>Total</t>
  </si>
  <si>
    <t>R-Inputs</t>
  </si>
  <si>
    <t>-PV discounting of claims</t>
  </si>
  <si>
    <t>-PV of discounting of claims</t>
  </si>
  <si>
    <t>weighting</t>
  </si>
  <si>
    <t>Standard deviation of loss</t>
  </si>
  <si>
    <t>VAR 95%</t>
  </si>
  <si>
    <t>VAR 99%</t>
  </si>
  <si>
    <t>ES 95%</t>
  </si>
  <si>
    <t>ES 99%</t>
  </si>
  <si>
    <t>Loss statistics</t>
  </si>
  <si>
    <t>Return statistics</t>
  </si>
  <si>
    <t>Expected return</t>
  </si>
  <si>
    <t>Standard deviation of return</t>
  </si>
  <si>
    <t>premium</t>
  </si>
  <si>
    <t>Expected loss</t>
  </si>
  <si>
    <t>VAR 99.5%</t>
  </si>
  <si>
    <t>ES  95%</t>
  </si>
  <si>
    <t>ES  99%</t>
  </si>
  <si>
    <t>Premium</t>
  </si>
  <si>
    <t>Oryn Delta</t>
  </si>
  <si>
    <t>Container type</t>
  </si>
  <si>
    <t>+Volatility loading (150%)</t>
  </si>
  <si>
    <t>+Stress loading (12% worse 18% moderate)</t>
  </si>
  <si>
    <t>+Stress loading (10% worse, 20% moderate)</t>
  </si>
  <si>
    <t>+Stress loading (12% worse, 18% moderate)</t>
  </si>
  <si>
    <t>stres test outcome (worse)</t>
  </si>
  <si>
    <t>stress test outcome (moderate)</t>
  </si>
  <si>
    <t>stress test outcome (worse)</t>
  </si>
  <si>
    <t>vessel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</si>
</sst>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6" formatCode="0.00,,"/>
    <numFmt numFmtId="181" formatCode="_-* #,##0_-;\-* #,##0_-;_-* &quot;-&quot;??_-;_-@_-"/>
    <numFmt numFmtId="183" formatCode="_-* #,##0.0_-;\-* #,##0.0_-;_-* &quot;-&quot;?_-;_-@_-"/>
    <numFmt numFmtId="18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Lucida Console"/>
      <family val="3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/>
    <xf numFmtId="0" fontId="0" fillId="0" borderId="0" xfId="0" applyFont="1"/>
    <xf numFmtId="0" fontId="0" fillId="0" borderId="1" xfId="0" applyFont="1" applyBorder="1"/>
    <xf numFmtId="0" fontId="0" fillId="0" borderId="3" xfId="0" applyFont="1" applyBorder="1"/>
    <xf numFmtId="166" fontId="0" fillId="0" borderId="2" xfId="0" applyNumberFormat="1" applyBorder="1"/>
    <xf numFmtId="166" fontId="0" fillId="0" borderId="0" xfId="0" applyNumberFormat="1"/>
    <xf numFmtId="2" fontId="0" fillId="0" borderId="0" xfId="0" applyNumberFormat="1"/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181" fontId="0" fillId="0" borderId="0" xfId="1" applyNumberFormat="1" applyFont="1"/>
    <xf numFmtId="181" fontId="4" fillId="0" borderId="0" xfId="1" applyNumberFormat="1" applyFont="1" applyAlignment="1">
      <alignment vertical="center"/>
    </xf>
    <xf numFmtId="0" fontId="0" fillId="0" borderId="0" xfId="0" pivotButton="1"/>
    <xf numFmtId="181" fontId="0" fillId="0" borderId="0" xfId="0" applyNumberFormat="1" applyAlignment="1">
      <alignment horizontal="left"/>
    </xf>
    <xf numFmtId="181" fontId="0" fillId="0" borderId="0" xfId="0" applyNumberFormat="1"/>
    <xf numFmtId="0" fontId="0" fillId="0" borderId="0" xfId="0" applyNumberFormat="1"/>
    <xf numFmtId="43" fontId="0" fillId="0" borderId="0" xfId="0" applyNumberFormat="1"/>
    <xf numFmtId="181" fontId="0" fillId="0" borderId="2" xfId="1" applyNumberFormat="1" applyFont="1" applyBorder="1"/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81" fontId="0" fillId="0" borderId="9" xfId="1" applyNumberFormat="1" applyFont="1" applyBorder="1"/>
    <xf numFmtId="181" fontId="2" fillId="0" borderId="6" xfId="1" applyNumberFormat="1" applyFont="1" applyBorder="1"/>
    <xf numFmtId="181" fontId="2" fillId="0" borderId="8" xfId="1" applyNumberFormat="1" applyFont="1" applyBorder="1"/>
    <xf numFmtId="181" fontId="2" fillId="0" borderId="7" xfId="1" applyNumberFormat="1" applyFont="1" applyBorder="1"/>
    <xf numFmtId="181" fontId="2" fillId="0" borderId="10" xfId="1" applyNumberFormat="1" applyFont="1" applyBorder="1"/>
    <xf numFmtId="181" fontId="2" fillId="0" borderId="11" xfId="1" applyNumberFormat="1" applyFont="1" applyBorder="1"/>
    <xf numFmtId="181" fontId="2" fillId="0" borderId="12" xfId="1" applyNumberFormat="1" applyFont="1" applyBorder="1"/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3" borderId="0" xfId="0" applyFill="1"/>
    <xf numFmtId="181" fontId="0" fillId="3" borderId="0" xfId="0" applyNumberFormat="1" applyFill="1"/>
    <xf numFmtId="0" fontId="0" fillId="3" borderId="4" xfId="0" applyFill="1" applyBorder="1"/>
    <xf numFmtId="3" fontId="0" fillId="0" borderId="0" xfId="0" applyNumberFormat="1"/>
    <xf numFmtId="3" fontId="0" fillId="0" borderId="0" xfId="0" applyNumberFormat="1" applyFont="1"/>
    <xf numFmtId="181" fontId="1" fillId="0" borderId="0" xfId="1" applyNumberFormat="1" applyFont="1"/>
    <xf numFmtId="0" fontId="0" fillId="0" borderId="0" xfId="0" quotePrefix="1"/>
    <xf numFmtId="183" fontId="0" fillId="0" borderId="0" xfId="0" applyNumberFormat="1"/>
    <xf numFmtId="181" fontId="2" fillId="0" borderId="0" xfId="1" applyNumberFormat="1" applyFont="1"/>
    <xf numFmtId="9" fontId="2" fillId="0" borderId="0" xfId="2" applyFont="1"/>
    <xf numFmtId="9" fontId="1" fillId="0" borderId="0" xfId="2" applyFont="1"/>
    <xf numFmtId="0" fontId="3" fillId="4" borderId="0" xfId="0" applyFont="1" applyFill="1" applyAlignment="1">
      <alignment vertical="center"/>
    </xf>
    <xf numFmtId="181" fontId="0" fillId="4" borderId="0" xfId="0" applyNumberFormat="1" applyFill="1"/>
    <xf numFmtId="0" fontId="4" fillId="0" borderId="0" xfId="0" applyFont="1" applyAlignment="1">
      <alignment vertical="center"/>
    </xf>
    <xf numFmtId="9" fontId="0" fillId="0" borderId="0" xfId="2" applyFont="1"/>
    <xf numFmtId="184" fontId="1" fillId="0" borderId="0" xfId="2" applyNumberFormat="1" applyFont="1"/>
    <xf numFmtId="184" fontId="2" fillId="0" borderId="0" xfId="2" applyNumberFormat="1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lesh Anantha-Siva" refreshedDate="46108.690987499998" createdVersion="7" refreshedVersion="7" minRefreshableVersion="3" recordCount="20" xr:uid="{5AD89725-208B-4C6E-A538-46B65B2723B9}">
  <cacheSource type="worksheet">
    <worksheetSource ref="A21:C32" sheet="miscellaenous"/>
  </cacheSource>
  <cacheFields count="3">
    <cacheField name="Deductible" numFmtId="181">
      <sharedItems containsSemiMixedTypes="0" containsString="0" containsNumber="1" containsInteger="1" minValue="0" maxValue="100000" count="5">
        <n v="0"/>
        <n v="25000"/>
        <n v="50000"/>
        <n v="75000"/>
        <n v="100000"/>
      </sharedItems>
    </cacheField>
    <cacheField name="Policy_limit" numFmtId="181">
      <sharedItems containsSemiMixedTypes="0" containsString="0" containsNumber="1" containsInteger="1" minValue="1000000" maxValue="1800000" count="5">
        <n v="1000000"/>
        <n v="1200000"/>
        <n v="1400000"/>
        <n v="1600000"/>
        <n v="1800000"/>
      </sharedItems>
    </cacheField>
    <cacheField name="Expected_loss" numFmtId="181">
      <sharedItems containsSemiMixedTypes="0" containsString="0" containsNumber="1" containsInteger="1" minValue="340936654" maxValue="5351451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n v="399548270"/>
  </r>
  <r>
    <x v="0"/>
    <x v="1"/>
    <n v="444510620"/>
  </r>
  <r>
    <x v="0"/>
    <x v="2"/>
    <n v="484624792"/>
  </r>
  <r>
    <x v="0"/>
    <x v="3"/>
    <n v="521358336"/>
  </r>
  <r>
    <x v="1"/>
    <x v="4"/>
    <n v="535145174"/>
  </r>
  <r>
    <x v="1"/>
    <x v="0"/>
    <n v="378133684"/>
  </r>
  <r>
    <x v="1"/>
    <x v="1"/>
    <n v="422343255"/>
  </r>
  <r>
    <x v="1"/>
    <x v="2"/>
    <n v="462842253"/>
  </r>
  <r>
    <x v="2"/>
    <x v="3"/>
    <n v="480140885"/>
  </r>
  <r>
    <x v="2"/>
    <x v="4"/>
    <n v="515393968"/>
  </r>
  <r>
    <x v="2"/>
    <x v="0"/>
    <n v="359031284"/>
  </r>
  <r>
    <x v="2"/>
    <x v="1"/>
    <n v="402741045"/>
  </r>
  <r>
    <x v="3"/>
    <x v="2"/>
    <n v="425472139"/>
  </r>
  <r>
    <x v="3"/>
    <x v="3"/>
    <n v="462564752"/>
  </r>
  <r>
    <x v="3"/>
    <x v="4"/>
    <n v="497300547"/>
  </r>
  <r>
    <x v="3"/>
    <x v="0"/>
    <n v="340936654"/>
  </r>
  <r>
    <x v="4"/>
    <x v="1"/>
    <n v="368123091"/>
  </r>
  <r>
    <x v="4"/>
    <x v="2"/>
    <n v="408804409"/>
  </r>
  <r>
    <x v="4"/>
    <x v="3"/>
    <n v="445828418"/>
  </r>
  <r>
    <x v="4"/>
    <x v="4"/>
    <n v="4808840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77785F-10B5-466D-978E-289520308074}" name="PivotTable1" cacheId="3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>
  <location ref="H23:M29" firstHeaderRow="1" firstDataRow="2" firstDataCol="1"/>
  <pivotFields count="3">
    <pivotField axis="axisRow" numFmtId="181" showAll="0">
      <items count="6">
        <item x="0"/>
        <item x="1"/>
        <item x="2"/>
        <item x="3"/>
        <item x="4"/>
        <item t="default"/>
      </items>
    </pivotField>
    <pivotField axis="axisCol" numFmtId="181" showAll="0">
      <items count="6">
        <item x="0"/>
        <item x="1"/>
        <item x="2"/>
        <item x="3"/>
        <item x="4"/>
        <item t="default"/>
      </items>
    </pivotField>
    <pivotField dataField="1" numFmtId="181" showAll="0"/>
  </pivotFields>
  <rowFields count="1">
    <field x="0"/>
  </rowFields>
  <rowItems count="5">
    <i>
      <x/>
    </i>
    <i>
      <x v="1"/>
    </i>
    <i>
      <x v="2"/>
    </i>
    <i>
      <x v="3"/>
    </i>
    <i>
      <x v="4"/>
    </i>
  </rowItems>
  <colFields count="1">
    <field x="1"/>
  </colFields>
  <colItems count="5">
    <i>
      <x/>
    </i>
    <i>
      <x v="1"/>
    </i>
    <i>
      <x v="2"/>
    </i>
    <i>
      <x v="3"/>
    </i>
    <i>
      <x v="4"/>
    </i>
  </colItems>
  <dataFields count="1">
    <dataField name="Sum of Expected_los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F38CE-050E-4BB7-AD57-610D9B253C6E}">
  <dimension ref="A1:M33"/>
  <sheetViews>
    <sheetView tabSelected="1" workbookViewId="0">
      <selection activeCell="D20" sqref="D20"/>
    </sheetView>
  </sheetViews>
  <sheetFormatPr defaultRowHeight="15" x14ac:dyDescent="0.25"/>
  <cols>
    <col min="1" max="1" width="38.5703125" customWidth="1"/>
    <col min="2" max="2" width="15.28515625" bestFit="1" customWidth="1"/>
    <col min="3" max="3" width="18.7109375" customWidth="1"/>
    <col min="4" max="4" width="11.5703125" bestFit="1" customWidth="1"/>
    <col min="8" max="8" width="20.42578125" bestFit="1" customWidth="1"/>
    <col min="9" max="9" width="16.28515625" bestFit="1" customWidth="1"/>
    <col min="10" max="13" width="10.5703125" bestFit="1" customWidth="1"/>
    <col min="14" max="14" width="12.7109375" bestFit="1" customWidth="1"/>
    <col min="16" max="16" width="11.5703125" customWidth="1"/>
    <col min="17" max="21" width="16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25">
      <c r="A2" s="4" t="s">
        <v>4</v>
      </c>
      <c r="B2" s="5">
        <f>375000000</f>
        <v>375000000</v>
      </c>
      <c r="C2" s="5">
        <f>250000000</f>
        <v>250000000</v>
      </c>
      <c r="D2" s="5">
        <f>125000000</f>
        <v>125000000</v>
      </c>
    </row>
    <row r="3" spans="1:8" x14ac:dyDescent="0.25">
      <c r="A3" s="3" t="s">
        <v>5</v>
      </c>
      <c r="B3" s="6">
        <f>B2*1.25</f>
        <v>468750000</v>
      </c>
      <c r="C3" s="6">
        <f t="shared" ref="C3:D3" si="0">C2*1.25</f>
        <v>312500000</v>
      </c>
      <c r="D3" s="6">
        <f>D2*1.15</f>
        <v>143750000</v>
      </c>
    </row>
    <row r="4" spans="1:8" x14ac:dyDescent="0.25">
      <c r="A4" s="3" t="s">
        <v>6</v>
      </c>
      <c r="B4" s="6">
        <v>143550000</v>
      </c>
      <c r="C4" s="6">
        <v>139600000</v>
      </c>
      <c r="D4" s="6">
        <v>95775000</v>
      </c>
    </row>
    <row r="5" spans="1:8" x14ac:dyDescent="0.25">
      <c r="A5" s="3"/>
      <c r="B5">
        <f>B2/B4</f>
        <v>2.6123301985370952</v>
      </c>
      <c r="C5">
        <f t="shared" ref="C5:D5" si="1">C2/C4</f>
        <v>1.7908309455587392</v>
      </c>
      <c r="D5">
        <f t="shared" si="1"/>
        <v>1.3051422605063951</v>
      </c>
    </row>
    <row r="6" spans="1:8" x14ac:dyDescent="0.25">
      <c r="A6" s="3" t="s">
        <v>7</v>
      </c>
      <c r="B6" s="7">
        <f>B3/B4</f>
        <v>3.2654127481713688</v>
      </c>
      <c r="C6" s="7">
        <f t="shared" ref="C6:D6" si="2">C3/C4</f>
        <v>2.2385386819484241</v>
      </c>
      <c r="D6" s="7">
        <f t="shared" si="2"/>
        <v>1.5009135995823544</v>
      </c>
    </row>
    <row r="9" spans="1:8" x14ac:dyDescent="0.25">
      <c r="A9" s="29"/>
      <c r="B9" s="29"/>
      <c r="C9" s="29"/>
      <c r="D9" s="29"/>
      <c r="E9" s="29"/>
      <c r="F9" s="29"/>
      <c r="G9" s="29"/>
    </row>
    <row r="10" spans="1:8" x14ac:dyDescent="0.25">
      <c r="A10" s="29"/>
      <c r="B10" s="29"/>
      <c r="C10" s="29"/>
      <c r="D10" s="29"/>
      <c r="E10" s="29"/>
      <c r="F10" s="29"/>
      <c r="G10" s="29"/>
      <c r="H10" s="29"/>
    </row>
    <row r="11" spans="1:8" x14ac:dyDescent="0.25">
      <c r="A11" s="27" t="s">
        <v>8</v>
      </c>
      <c r="B11" s="18" t="s">
        <v>12</v>
      </c>
      <c r="C11" s="19"/>
      <c r="D11" s="19"/>
      <c r="E11" s="19"/>
      <c r="F11" s="19"/>
      <c r="G11" s="31"/>
    </row>
    <row r="12" spans="1:8" x14ac:dyDescent="0.25">
      <c r="A12" s="28"/>
      <c r="B12" s="24">
        <v>1000000</v>
      </c>
      <c r="C12" s="25">
        <v>1200000</v>
      </c>
      <c r="D12" s="25">
        <v>1400000</v>
      </c>
      <c r="E12" s="25">
        <v>1600000</v>
      </c>
      <c r="F12" s="26">
        <v>1800000</v>
      </c>
      <c r="G12" s="31"/>
    </row>
    <row r="13" spans="1:8" x14ac:dyDescent="0.25">
      <c r="A13" s="21">
        <v>0</v>
      </c>
      <c r="B13" s="17">
        <v>363366208</v>
      </c>
      <c r="C13" s="17">
        <v>401925544</v>
      </c>
      <c r="D13" s="17">
        <v>437630241</v>
      </c>
      <c r="E13" s="17">
        <v>471046336</v>
      </c>
      <c r="F13" s="17">
        <v>503233095</v>
      </c>
      <c r="G13" s="31"/>
    </row>
    <row r="14" spans="1:8" x14ac:dyDescent="0.25">
      <c r="A14" s="22">
        <v>25000</v>
      </c>
      <c r="B14" s="10">
        <v>340227378</v>
      </c>
      <c r="C14" s="10">
        <v>378892282</v>
      </c>
      <c r="D14" s="10">
        <v>414497204</v>
      </c>
      <c r="E14" s="10">
        <v>448461237</v>
      </c>
      <c r="F14" s="10">
        <v>480758023</v>
      </c>
      <c r="G14" s="31"/>
    </row>
    <row r="15" spans="1:8" x14ac:dyDescent="0.25">
      <c r="A15" s="22">
        <v>50000</v>
      </c>
      <c r="B15" s="10">
        <v>319655858</v>
      </c>
      <c r="C15" s="10">
        <v>358579871</v>
      </c>
      <c r="D15" s="10">
        <v>394177886</v>
      </c>
      <c r="E15" s="10">
        <v>427928256</v>
      </c>
      <c r="F15" s="10">
        <v>461075082</v>
      </c>
      <c r="G15" s="31"/>
    </row>
    <row r="16" spans="1:8" x14ac:dyDescent="0.25">
      <c r="A16" s="22">
        <v>75000</v>
      </c>
      <c r="B16" s="10">
        <v>301903617</v>
      </c>
      <c r="C16" s="10">
        <v>340746450</v>
      </c>
      <c r="D16" s="10">
        <v>377068482</v>
      </c>
      <c r="E16" s="10">
        <v>409796191</v>
      </c>
      <c r="F16" s="10">
        <v>442893413</v>
      </c>
      <c r="G16" s="31"/>
    </row>
    <row r="17" spans="1:13" x14ac:dyDescent="0.25">
      <c r="A17" s="23">
        <v>100000</v>
      </c>
      <c r="B17" s="20">
        <v>285772579</v>
      </c>
      <c r="C17" s="20">
        <v>324269029</v>
      </c>
      <c r="D17" s="20">
        <v>361217145</v>
      </c>
      <c r="E17" s="20">
        <v>394316882</v>
      </c>
      <c r="F17" s="20">
        <v>426608974</v>
      </c>
      <c r="G17" s="31"/>
    </row>
    <row r="18" spans="1:13" x14ac:dyDescent="0.25">
      <c r="A18" s="29"/>
      <c r="B18" s="29"/>
      <c r="C18" s="30"/>
      <c r="D18" s="30"/>
      <c r="E18" s="30"/>
      <c r="F18" s="30"/>
      <c r="G18" s="30"/>
      <c r="H18" s="29"/>
    </row>
    <row r="21" spans="1:13" x14ac:dyDescent="0.25">
      <c r="A21" s="11"/>
      <c r="B21" s="10"/>
      <c r="C21" s="10"/>
    </row>
    <row r="22" spans="1:13" x14ac:dyDescent="0.25">
      <c r="A22" s="11"/>
      <c r="B22" s="10"/>
      <c r="C22" s="10"/>
    </row>
    <row r="23" spans="1:13" x14ac:dyDescent="0.25">
      <c r="A23" s="11"/>
      <c r="B23" s="10"/>
      <c r="C23" s="10"/>
      <c r="H23" s="12" t="s">
        <v>11</v>
      </c>
      <c r="I23" s="12" t="s">
        <v>10</v>
      </c>
    </row>
    <row r="24" spans="1:13" x14ac:dyDescent="0.25">
      <c r="A24" s="11"/>
      <c r="B24" s="10"/>
      <c r="C24" s="10"/>
      <c r="H24" s="12" t="s">
        <v>9</v>
      </c>
      <c r="I24" s="14">
        <v>1000000</v>
      </c>
      <c r="J24" s="14">
        <v>1200000</v>
      </c>
      <c r="K24" s="14">
        <v>1400000</v>
      </c>
      <c r="L24" s="14">
        <v>1600000</v>
      </c>
      <c r="M24" s="14">
        <v>1800000</v>
      </c>
    </row>
    <row r="25" spans="1:13" x14ac:dyDescent="0.25">
      <c r="A25" s="11"/>
      <c r="B25" s="10"/>
      <c r="C25" s="10"/>
      <c r="H25" s="13">
        <v>0</v>
      </c>
      <c r="I25" s="15">
        <v>399548270</v>
      </c>
      <c r="J25" s="15">
        <v>444510620</v>
      </c>
      <c r="K25" s="15">
        <v>484624792</v>
      </c>
      <c r="L25" s="15">
        <v>521358336</v>
      </c>
      <c r="M25" s="15"/>
    </row>
    <row r="26" spans="1:13" x14ac:dyDescent="0.25">
      <c r="A26" s="11"/>
      <c r="B26" s="10"/>
      <c r="C26" s="10"/>
      <c r="H26" s="13">
        <v>25000</v>
      </c>
      <c r="I26" s="15">
        <v>378133684</v>
      </c>
      <c r="J26" s="15">
        <v>422343255</v>
      </c>
      <c r="K26" s="15">
        <v>462842253</v>
      </c>
      <c r="L26" s="15"/>
      <c r="M26" s="15">
        <v>535145174</v>
      </c>
    </row>
    <row r="27" spans="1:13" x14ac:dyDescent="0.25">
      <c r="A27" s="11"/>
      <c r="B27" s="10"/>
      <c r="C27" s="10"/>
      <c r="H27" s="13">
        <v>50000</v>
      </c>
      <c r="I27" s="15">
        <v>359031284</v>
      </c>
      <c r="J27" s="15">
        <v>402741045</v>
      </c>
      <c r="K27" s="15"/>
      <c r="L27" s="15">
        <v>480140885</v>
      </c>
      <c r="M27" s="15">
        <v>515393968</v>
      </c>
    </row>
    <row r="28" spans="1:13" x14ac:dyDescent="0.25">
      <c r="A28" s="11"/>
      <c r="B28" s="10"/>
      <c r="C28" s="10"/>
      <c r="H28" s="13">
        <v>75000</v>
      </c>
      <c r="I28" s="15">
        <v>340936654</v>
      </c>
      <c r="J28" s="15"/>
      <c r="K28" s="15">
        <v>425472139</v>
      </c>
      <c r="L28" s="15">
        <v>462564752</v>
      </c>
      <c r="M28" s="15">
        <v>497300547</v>
      </c>
    </row>
    <row r="29" spans="1:13" x14ac:dyDescent="0.25">
      <c r="A29" s="11"/>
      <c r="B29" s="10"/>
      <c r="C29" s="10"/>
      <c r="H29" s="13">
        <v>100000</v>
      </c>
      <c r="I29" s="15"/>
      <c r="J29" s="15">
        <v>368123091</v>
      </c>
      <c r="K29" s="15">
        <v>408804409</v>
      </c>
      <c r="L29" s="15">
        <v>445828418</v>
      </c>
      <c r="M29" s="15">
        <v>480884019</v>
      </c>
    </row>
    <row r="30" spans="1:13" x14ac:dyDescent="0.25">
      <c r="A30" s="11"/>
      <c r="B30" s="10"/>
      <c r="C30" s="10"/>
    </row>
    <row r="31" spans="1:13" x14ac:dyDescent="0.25">
      <c r="A31" s="11"/>
      <c r="B31" s="10"/>
      <c r="C31" s="10"/>
    </row>
    <row r="32" spans="1:13" x14ac:dyDescent="0.25">
      <c r="A32" s="11"/>
      <c r="B32" s="10"/>
      <c r="C32" s="10"/>
    </row>
    <row r="33" spans="1:1" x14ac:dyDescent="0.25">
      <c r="A33" s="9"/>
    </row>
  </sheetData>
  <mergeCells count="2">
    <mergeCell ref="B11:F11"/>
    <mergeCell ref="A11:A12"/>
  </mergeCell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478A4-B8F6-4E41-844D-923BDD437B9D}">
  <dimension ref="A1:J22"/>
  <sheetViews>
    <sheetView workbookViewId="0">
      <selection activeCell="A19" sqref="A19"/>
    </sheetView>
  </sheetViews>
  <sheetFormatPr defaultRowHeight="15" x14ac:dyDescent="0.25"/>
  <cols>
    <col min="1" max="1" width="43.140625" customWidth="1"/>
    <col min="2" max="2" width="19.7109375" customWidth="1"/>
    <col min="3" max="3" width="24.140625" customWidth="1"/>
    <col min="4" max="4" width="20.5703125" customWidth="1"/>
    <col min="5" max="5" width="23.42578125" customWidth="1"/>
    <col min="6" max="6" width="21.42578125" customWidth="1"/>
    <col min="7" max="7" width="9.140625" hidden="1" customWidth="1"/>
    <col min="8" max="8" width="17.28515625" customWidth="1"/>
    <col min="9" max="9" width="20" customWidth="1"/>
  </cols>
  <sheetData>
    <row r="1" spans="1:10" x14ac:dyDescent="0.25">
      <c r="A1" t="s">
        <v>48</v>
      </c>
      <c r="B1" t="s">
        <v>14</v>
      </c>
      <c r="C1" t="s">
        <v>15</v>
      </c>
      <c r="D1" t="s">
        <v>18</v>
      </c>
      <c r="E1" t="s">
        <v>16</v>
      </c>
      <c r="F1" t="s">
        <v>17</v>
      </c>
      <c r="H1" t="s">
        <v>27</v>
      </c>
      <c r="I1" t="s">
        <v>28</v>
      </c>
    </row>
    <row r="2" spans="1:10" x14ac:dyDescent="0.25">
      <c r="A2" t="s">
        <v>13</v>
      </c>
      <c r="B2" s="34">
        <v>58</v>
      </c>
      <c r="C2" s="34">
        <v>116</v>
      </c>
      <c r="D2" s="34">
        <v>580</v>
      </c>
      <c r="E2" s="34">
        <v>232</v>
      </c>
      <c r="F2" s="34">
        <v>174</v>
      </c>
      <c r="G2" s="34"/>
      <c r="H2" s="37">
        <f>SUM(B2:F2)</f>
        <v>1160</v>
      </c>
      <c r="I2" s="14"/>
    </row>
    <row r="3" spans="1:10" x14ac:dyDescent="0.25">
      <c r="A3" t="s">
        <v>19</v>
      </c>
      <c r="B3" s="11">
        <v>13290491</v>
      </c>
      <c r="C3" s="11">
        <v>23139837</v>
      </c>
      <c r="D3" s="11">
        <v>142013259</v>
      </c>
      <c r="E3" s="11">
        <v>60570269</v>
      </c>
      <c r="F3" s="11">
        <v>47013060</v>
      </c>
      <c r="G3" s="34"/>
      <c r="H3" s="37">
        <f t="shared" ref="H3:H12" si="0">SUM(B3:F3)</f>
        <v>286026916</v>
      </c>
      <c r="I3" s="14">
        <v>286026916</v>
      </c>
      <c r="J3" s="8"/>
    </row>
    <row r="4" spans="1:10" x14ac:dyDescent="0.25">
      <c r="A4" t="s">
        <v>31</v>
      </c>
      <c r="B4" s="11">
        <f>B3/SUM($B$3:$F$3)</f>
        <v>4.6465875260494713E-2</v>
      </c>
      <c r="C4" s="11">
        <f>C3/SUM($B$3:$F$3)</f>
        <v>8.0900907241890474E-2</v>
      </c>
      <c r="D4" s="11">
        <f>D3/SUM($B$3:$F$3)</f>
        <v>0.49650312979635802</v>
      </c>
      <c r="E4" s="11">
        <f>E3/SUM($B$3:$F$3)</f>
        <v>0.21176422781134346</v>
      </c>
      <c r="F4" s="11">
        <f>F3/SUM($B$3:$F$3)</f>
        <v>0.16436585988991328</v>
      </c>
      <c r="G4" s="34"/>
      <c r="H4" s="37">
        <f t="shared" si="0"/>
        <v>0.99999999999999989</v>
      </c>
      <c r="I4" s="14">
        <f t="shared" ref="I4" si="1">SUM(C4:G4)</f>
        <v>0.95353412473950516</v>
      </c>
    </row>
    <row r="5" spans="1:10" x14ac:dyDescent="0.25">
      <c r="A5" t="s">
        <v>20</v>
      </c>
      <c r="B5" s="11">
        <v>12773406</v>
      </c>
      <c r="C5" s="11">
        <v>22676896</v>
      </c>
      <c r="D5" s="11">
        <v>141430477</v>
      </c>
      <c r="E5" s="11">
        <v>59954114</v>
      </c>
      <c r="F5" s="11">
        <v>46378315</v>
      </c>
      <c r="G5" s="34"/>
      <c r="H5" s="37">
        <f t="shared" si="0"/>
        <v>283213208</v>
      </c>
      <c r="I5" s="14">
        <v>283213208</v>
      </c>
    </row>
    <row r="6" spans="1:10" x14ac:dyDescent="0.25">
      <c r="A6" t="s">
        <v>53</v>
      </c>
      <c r="B6" s="11">
        <f>$I$6*B4</f>
        <v>21836780.54304304</v>
      </c>
      <c r="C6" s="11">
        <f t="shared" ref="C6:F6" si="2">$I$6*C4</f>
        <v>38019629.400508031</v>
      </c>
      <c r="D6" s="11">
        <f t="shared" si="2"/>
        <v>233333168.12639442</v>
      </c>
      <c r="E6" s="11">
        <f t="shared" si="2"/>
        <v>99519248.129063323</v>
      </c>
      <c r="F6" s="11">
        <f t="shared" si="2"/>
        <v>77244239.800991178</v>
      </c>
      <c r="G6" s="34"/>
      <c r="H6" s="37">
        <f t="shared" si="0"/>
        <v>469953066</v>
      </c>
      <c r="I6" s="8">
        <v>469953066</v>
      </c>
    </row>
    <row r="7" spans="1:10" x14ac:dyDescent="0.25">
      <c r="A7" t="s">
        <v>54</v>
      </c>
      <c r="B7" s="11">
        <f>$I$7*B4</f>
        <v>14435676.741144959</v>
      </c>
      <c r="C7" s="11">
        <f t="shared" ref="C7:F7" si="3">$I$7*C4</f>
        <v>25133699.482945025</v>
      </c>
      <c r="D7" s="11">
        <f t="shared" si="3"/>
        <v>154249944.55663788</v>
      </c>
      <c r="E7" s="11">
        <f t="shared" si="3"/>
        <v>65789354.464646459</v>
      </c>
      <c r="F7" s="11">
        <f t="shared" si="3"/>
        <v>51063977.754625648</v>
      </c>
      <c r="G7" s="34"/>
      <c r="H7" s="37">
        <f t="shared" si="0"/>
        <v>310672653</v>
      </c>
      <c r="I7" s="8">
        <v>310672653</v>
      </c>
    </row>
    <row r="8" spans="1:10" x14ac:dyDescent="0.25">
      <c r="A8" s="35" t="s">
        <v>50</v>
      </c>
      <c r="B8" s="11">
        <f>0.12*(B6-B3)+0.18*(B7-B3)+B5</f>
        <v>14005094.178571258</v>
      </c>
      <c r="C8" s="11">
        <f t="shared" ref="C8:F8" si="4">0.12*(C6-C3)+0.18*(C7-C3)+C5</f>
        <v>24821366.334991068</v>
      </c>
      <c r="D8" s="11">
        <f t="shared" si="4"/>
        <v>154591469.49536216</v>
      </c>
      <c r="E8" s="11">
        <f t="shared" si="4"/>
        <v>65567426.879123963</v>
      </c>
      <c r="F8" s="11">
        <f t="shared" si="4"/>
        <v>50735221.771951556</v>
      </c>
      <c r="G8" s="34"/>
      <c r="H8" s="37">
        <f t="shared" si="0"/>
        <v>309720578.65999997</v>
      </c>
    </row>
    <row r="9" spans="1:10" x14ac:dyDescent="0.25">
      <c r="A9" s="35" t="s">
        <v>29</v>
      </c>
      <c r="B9" s="34">
        <f>B8/$I$9</f>
        <v>13904867.890814267</v>
      </c>
      <c r="C9" s="34">
        <f t="shared" ref="C9:F9" si="5">C8/$I$9</f>
        <v>24643734.298169855</v>
      </c>
      <c r="D9" s="34">
        <f t="shared" si="5"/>
        <v>153485148.54465228</v>
      </c>
      <c r="E9" s="34">
        <f t="shared" si="5"/>
        <v>65098199.060297333</v>
      </c>
      <c r="F9" s="34">
        <f t="shared" si="5"/>
        <v>50372139.391219638</v>
      </c>
      <c r="G9" s="34"/>
      <c r="H9" s="37">
        <f t="shared" si="0"/>
        <v>307504089.18515337</v>
      </c>
      <c r="I9" s="8">
        <v>1.0072080000000001</v>
      </c>
    </row>
    <row r="10" spans="1:10" x14ac:dyDescent="0.25">
      <c r="A10" s="35" t="s">
        <v>49</v>
      </c>
      <c r="B10" s="34">
        <f>B9+1.5*$I10*B4</f>
        <v>14906227.808265418</v>
      </c>
      <c r="C10" s="34">
        <f t="shared" ref="C10:F10" si="6">C9+1.5*$I10*C4</f>
        <v>26387184.202929061</v>
      </c>
      <c r="D10" s="34">
        <f t="shared" si="6"/>
        <v>164185007.96363151</v>
      </c>
      <c r="E10" s="34">
        <f t="shared" si="6"/>
        <v>69661810.710599333</v>
      </c>
      <c r="F10" s="34">
        <f t="shared" si="6"/>
        <v>53914295.499728039</v>
      </c>
      <c r="G10" s="34"/>
      <c r="H10" s="37">
        <f t="shared" si="0"/>
        <v>329054526.18515331</v>
      </c>
      <c r="I10" s="14">
        <v>14366958</v>
      </c>
    </row>
    <row r="11" spans="1:10" x14ac:dyDescent="0.25">
      <c r="A11" s="35" t="s">
        <v>21</v>
      </c>
      <c r="B11" s="34">
        <f>B10+$I11*B4</f>
        <v>15043313.29209394</v>
      </c>
      <c r="C11" s="34">
        <f t="shared" ref="C11:F11" si="7">C10+$I11*C4</f>
        <v>26625861.295510374</v>
      </c>
      <c r="D11" s="34">
        <f t="shared" si="7"/>
        <v>165649811.35728192</v>
      </c>
      <c r="E11" s="34">
        <f t="shared" si="7"/>
        <v>70286566.006057471</v>
      </c>
      <c r="F11" s="34">
        <f t="shared" si="7"/>
        <v>54399214.234209657</v>
      </c>
      <c r="G11" s="34"/>
      <c r="H11" s="37">
        <f t="shared" si="0"/>
        <v>332004766.18515337</v>
      </c>
      <c r="I11" s="8">
        <v>2950240</v>
      </c>
    </row>
    <row r="12" spans="1:10" x14ac:dyDescent="0.25">
      <c r="A12" s="35" t="s">
        <v>24</v>
      </c>
      <c r="B12" s="34">
        <f>B11/0.95</f>
        <v>15835066.62325678</v>
      </c>
      <c r="C12" s="34">
        <f t="shared" ref="C12:F12" si="8">C11/0.95</f>
        <v>28027222.416326709</v>
      </c>
      <c r="D12" s="34">
        <f t="shared" si="8"/>
        <v>174368222.48134941</v>
      </c>
      <c r="E12" s="34">
        <f t="shared" si="8"/>
        <v>73985858.953744709</v>
      </c>
      <c r="F12" s="34">
        <f t="shared" si="8"/>
        <v>57262330.772852272</v>
      </c>
      <c r="G12" s="34"/>
      <c r="H12" s="37">
        <f t="shared" si="0"/>
        <v>349478701.24752986</v>
      </c>
    </row>
    <row r="13" spans="1:10" x14ac:dyDescent="0.25">
      <c r="B13" s="34"/>
      <c r="C13" s="34"/>
      <c r="D13" s="34"/>
      <c r="E13" s="34"/>
      <c r="F13" s="34"/>
      <c r="G13" s="34"/>
      <c r="H13" s="34"/>
    </row>
    <row r="14" spans="1:10" x14ac:dyDescent="0.25">
      <c r="A14" s="2" t="s">
        <v>22</v>
      </c>
      <c r="B14" s="34">
        <f>B12</f>
        <v>15835066.62325678</v>
      </c>
      <c r="C14" s="34">
        <f t="shared" ref="C14:F14" si="9">C12</f>
        <v>28027222.416326709</v>
      </c>
      <c r="D14" s="34">
        <f t="shared" si="9"/>
        <v>174368222.48134941</v>
      </c>
      <c r="E14" s="34">
        <f t="shared" si="9"/>
        <v>73985858.953744709</v>
      </c>
      <c r="F14" s="34">
        <f t="shared" si="9"/>
        <v>57262330.772852272</v>
      </c>
      <c r="G14" s="34"/>
      <c r="H14" s="37">
        <f>SUM(B14:F14)</f>
        <v>349478701.24752986</v>
      </c>
    </row>
    <row r="15" spans="1:10" x14ac:dyDescent="0.25">
      <c r="A15" s="2" t="s">
        <v>26</v>
      </c>
      <c r="B15" s="34">
        <f>B14/B2</f>
        <v>273018.39005615137</v>
      </c>
      <c r="C15" s="34">
        <f t="shared" ref="C15:G15" si="10">C14/C2</f>
        <v>241613.98634764404</v>
      </c>
      <c r="D15" s="34">
        <f t="shared" si="10"/>
        <v>300634.86634715414</v>
      </c>
      <c r="E15" s="34">
        <f t="shared" si="10"/>
        <v>318904.56445579615</v>
      </c>
      <c r="F15" s="34">
        <f t="shared" si="10"/>
        <v>329093.85501639236</v>
      </c>
      <c r="G15" s="37"/>
      <c r="H15" s="37">
        <f>H14/H2</f>
        <v>301274.74245476711</v>
      </c>
    </row>
    <row r="16" spans="1:10" x14ac:dyDescent="0.25">
      <c r="A16" t="s">
        <v>23</v>
      </c>
      <c r="B16" s="39">
        <f>B3/B14</f>
        <v>0.83930755179017746</v>
      </c>
      <c r="C16" s="39">
        <f t="shared" ref="C16:F16" si="11">C3/C14</f>
        <v>0.82562005810894556</v>
      </c>
      <c r="D16" s="39">
        <f t="shared" si="11"/>
        <v>0.81444461025683668</v>
      </c>
      <c r="E16" s="39">
        <f t="shared" si="11"/>
        <v>0.8186735932587873</v>
      </c>
      <c r="F16" s="39">
        <f t="shared" si="11"/>
        <v>0.82101198755759708</v>
      </c>
      <c r="G16" s="38"/>
      <c r="H16" s="38">
        <f>H3/H14</f>
        <v>0.81843876316059661</v>
      </c>
    </row>
    <row r="21" spans="1:5" x14ac:dyDescent="0.25">
      <c r="A21" s="8"/>
      <c r="D21" s="8"/>
    </row>
    <row r="22" spans="1:5" x14ac:dyDescent="0.25">
      <c r="D22" s="16"/>
      <c r="E22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7752A-9DFB-4E69-84D0-7B09FE23E501}">
  <dimension ref="A1:J22"/>
  <sheetViews>
    <sheetView zoomScale="80" zoomScaleNormal="80" workbookViewId="0">
      <selection activeCell="H1" sqref="H1:H16"/>
    </sheetView>
  </sheetViews>
  <sheetFormatPr defaultRowHeight="15" x14ac:dyDescent="0.25"/>
  <cols>
    <col min="1" max="1" width="43.140625" customWidth="1"/>
    <col min="2" max="2" width="19.7109375" customWidth="1"/>
    <col min="3" max="3" width="24.140625" customWidth="1"/>
    <col min="4" max="4" width="20.5703125" customWidth="1"/>
    <col min="5" max="5" width="23.42578125" customWidth="1"/>
    <col min="6" max="6" width="21.42578125" customWidth="1"/>
    <col min="7" max="7" width="9.140625" customWidth="1"/>
    <col min="8" max="8" width="17.28515625" customWidth="1"/>
    <col min="9" max="9" width="20" customWidth="1"/>
  </cols>
  <sheetData>
    <row r="1" spans="1:10" x14ac:dyDescent="0.25">
      <c r="A1" t="s">
        <v>48</v>
      </c>
      <c r="B1" t="s">
        <v>14</v>
      </c>
      <c r="C1" t="s">
        <v>15</v>
      </c>
      <c r="D1" t="s">
        <v>18</v>
      </c>
      <c r="E1" t="s">
        <v>16</v>
      </c>
      <c r="F1" t="s">
        <v>17</v>
      </c>
      <c r="H1" t="s">
        <v>27</v>
      </c>
      <c r="I1" t="s">
        <v>28</v>
      </c>
    </row>
    <row r="2" spans="1:10" x14ac:dyDescent="0.25">
      <c r="A2" t="s">
        <v>13</v>
      </c>
      <c r="B2" s="32">
        <v>56</v>
      </c>
      <c r="C2" s="32">
        <v>113</v>
      </c>
      <c r="D2" s="32">
        <v>564</v>
      </c>
      <c r="E2" s="32">
        <v>226</v>
      </c>
      <c r="F2" s="33">
        <v>169</v>
      </c>
      <c r="G2" s="34"/>
      <c r="H2" s="37">
        <f>SUM(B2:F2)</f>
        <v>1128</v>
      </c>
      <c r="I2" s="14"/>
    </row>
    <row r="3" spans="1:10" x14ac:dyDescent="0.25">
      <c r="A3" t="s">
        <v>19</v>
      </c>
      <c r="B3" s="8">
        <v>5910156</v>
      </c>
      <c r="C3" s="8">
        <v>12376014</v>
      </c>
      <c r="D3" s="8">
        <v>79230088</v>
      </c>
      <c r="E3" s="8">
        <v>28419379</v>
      </c>
      <c r="F3" s="8">
        <v>26077870</v>
      </c>
      <c r="G3" s="34"/>
      <c r="H3" s="37">
        <f t="shared" ref="H3:I12" si="0">SUM(B3:F3)</f>
        <v>152013507</v>
      </c>
      <c r="I3" s="14">
        <v>286026916</v>
      </c>
      <c r="J3" s="8"/>
    </row>
    <row r="4" spans="1:10" x14ac:dyDescent="0.25">
      <c r="A4" t="s">
        <v>31</v>
      </c>
      <c r="B4" s="11">
        <f>B3/SUM($B$3:$F$3)</f>
        <v>3.8879150390234728E-2</v>
      </c>
      <c r="C4" s="11">
        <f>C3/SUM($B$3:$F$3)</f>
        <v>8.141391014681347E-2</v>
      </c>
      <c r="D4" s="11">
        <f>D3/SUM($B$3:$F$3)</f>
        <v>0.52120426377637619</v>
      </c>
      <c r="E4" s="11">
        <f>E3/SUM($B$3:$F$3)</f>
        <v>0.18695298569751437</v>
      </c>
      <c r="F4" s="11">
        <f>F3/SUM($B$3:$F$3)</f>
        <v>0.17154968998906131</v>
      </c>
      <c r="G4" s="34"/>
      <c r="H4" s="37">
        <f t="shared" si="0"/>
        <v>1</v>
      </c>
      <c r="I4" s="41">
        <f t="shared" si="0"/>
        <v>0.96112084960976529</v>
      </c>
    </row>
    <row r="5" spans="1:10" x14ac:dyDescent="0.25">
      <c r="A5" t="s">
        <v>20</v>
      </c>
      <c r="B5">
        <v>5691151</v>
      </c>
      <c r="C5">
        <v>12139515</v>
      </c>
      <c r="D5">
        <v>78919749</v>
      </c>
      <c r="E5">
        <v>28143535</v>
      </c>
      <c r="F5">
        <v>25741615</v>
      </c>
      <c r="G5" s="34"/>
      <c r="H5" s="37">
        <f t="shared" si="0"/>
        <v>150635565</v>
      </c>
      <c r="I5" s="14">
        <v>283213208</v>
      </c>
    </row>
    <row r="6" spans="1:10" x14ac:dyDescent="0.25">
      <c r="A6" t="s">
        <v>53</v>
      </c>
      <c r="B6" s="11">
        <f>$I$6*B4</f>
        <v>12176657.064460777</v>
      </c>
      <c r="C6" s="11">
        <f t="shared" ref="C6:F6" si="1">$I$6*C4</f>
        <v>25498223.448410753</v>
      </c>
      <c r="D6" s="11">
        <f t="shared" si="1"/>
        <v>163237249.70424625</v>
      </c>
      <c r="E6" s="11">
        <f t="shared" si="1"/>
        <v>58552266.990573227</v>
      </c>
      <c r="F6" s="11">
        <f t="shared" si="1"/>
        <v>53728070.792309001</v>
      </c>
      <c r="G6" s="34"/>
      <c r="H6" s="37">
        <f t="shared" si="0"/>
        <v>313192468</v>
      </c>
      <c r="I6" s="8">
        <v>313192468</v>
      </c>
    </row>
    <row r="7" spans="1:10" x14ac:dyDescent="0.25">
      <c r="A7" t="s">
        <v>54</v>
      </c>
      <c r="B7" s="11">
        <f>$I$7*B4</f>
        <v>7501428.4605103936</v>
      </c>
      <c r="C7" s="11">
        <f t="shared" ref="C7:F7" si="2">$I$7*C4</f>
        <v>15708178.201603323</v>
      </c>
      <c r="D7" s="11">
        <f t="shared" si="2"/>
        <v>100562292.61155595</v>
      </c>
      <c r="E7" s="11">
        <f t="shared" si="2"/>
        <v>36071118.674470082</v>
      </c>
      <c r="F7" s="11">
        <f t="shared" si="2"/>
        <v>33099173.051860254</v>
      </c>
      <c r="G7" s="34"/>
      <c r="H7" s="37">
        <f t="shared" si="0"/>
        <v>192942190.99999997</v>
      </c>
      <c r="I7" s="8">
        <v>192942191</v>
      </c>
    </row>
    <row r="8" spans="1:10" x14ac:dyDescent="0.25">
      <c r="A8" s="35" t="s">
        <v>51</v>
      </c>
      <c r="B8" s="11">
        <f>0.1*(B6-B3)+0.2*(B7-B3)+B5</f>
        <v>6636055.5985481562</v>
      </c>
      <c r="C8" s="11">
        <f t="shared" ref="C8:F8" si="3">0.1*(C6-C3)+0.2*(C7-C3)+C5</f>
        <v>14118168.785161741</v>
      </c>
      <c r="D8" s="11">
        <f t="shared" si="3"/>
        <v>91586906.092735812</v>
      </c>
      <c r="E8" s="11">
        <f t="shared" si="3"/>
        <v>32687171.733951338</v>
      </c>
      <c r="F8" s="11">
        <f t="shared" si="3"/>
        <v>29910895.689602952</v>
      </c>
      <c r="G8" s="34"/>
      <c r="H8" s="37">
        <f t="shared" si="0"/>
        <v>174939197.89999998</v>
      </c>
    </row>
    <row r="9" spans="1:10" x14ac:dyDescent="0.25">
      <c r="A9" s="35" t="s">
        <v>30</v>
      </c>
      <c r="B9" s="34">
        <f>B8/$I$9</f>
        <v>6588565.2204392292</v>
      </c>
      <c r="C9" s="34">
        <f t="shared" ref="C9:F9" si="4">C8/$I$9</f>
        <v>14017133.288418816</v>
      </c>
      <c r="D9" s="34">
        <f t="shared" si="4"/>
        <v>90931472.042255223</v>
      </c>
      <c r="E9" s="34">
        <f t="shared" si="4"/>
        <v>32453248.717197772</v>
      </c>
      <c r="F9" s="34">
        <f t="shared" si="4"/>
        <v>29696840.860679176</v>
      </c>
      <c r="G9" s="34"/>
      <c r="H9" s="37">
        <f t="shared" si="0"/>
        <v>173687260.12899023</v>
      </c>
      <c r="I9" s="40">
        <v>1.0072080000000001</v>
      </c>
    </row>
    <row r="10" spans="1:10" x14ac:dyDescent="0.25">
      <c r="A10" s="35" t="s">
        <v>49</v>
      </c>
      <c r="B10" s="34">
        <f>B9+1.5*$I10*B4</f>
        <v>7203614.3871477768</v>
      </c>
      <c r="C10" s="34">
        <f t="shared" ref="C10:F10" si="5">C9+1.5*$I10*C4</f>
        <v>15305061.576246299</v>
      </c>
      <c r="D10" s="34">
        <f t="shared" si="5"/>
        <v>99176668.886914641</v>
      </c>
      <c r="E10" s="34">
        <f t="shared" si="5"/>
        <v>35410753.624398939</v>
      </c>
      <c r="F10" s="34">
        <f t="shared" si="5"/>
        <v>32410673.154282566</v>
      </c>
      <c r="G10" s="34"/>
      <c r="H10" s="37">
        <f t="shared" si="0"/>
        <v>189506771.62899023</v>
      </c>
      <c r="I10" s="40">
        <v>10546341</v>
      </c>
    </row>
    <row r="11" spans="1:10" x14ac:dyDescent="0.25">
      <c r="A11" s="35" t="s">
        <v>21</v>
      </c>
      <c r="B11" s="34">
        <f>B10+$I11*B4</f>
        <v>7285495.0442441227</v>
      </c>
      <c r="C11" s="34">
        <f t="shared" ref="C11:F11" si="6">C10+$I11*C4</f>
        <v>15476521.713432793</v>
      </c>
      <c r="D11" s="34">
        <f t="shared" si="6"/>
        <v>100274340.7025556</v>
      </c>
      <c r="E11" s="34">
        <f t="shared" si="6"/>
        <v>35804482.220867477</v>
      </c>
      <c r="F11" s="34">
        <f t="shared" si="6"/>
        <v>32771961.94789023</v>
      </c>
      <c r="G11" s="34"/>
      <c r="H11" s="37">
        <f t="shared" si="0"/>
        <v>191612801.6289902</v>
      </c>
      <c r="I11" s="40">
        <v>2106030</v>
      </c>
    </row>
    <row r="12" spans="1:10" x14ac:dyDescent="0.25">
      <c r="A12" s="35" t="s">
        <v>24</v>
      </c>
      <c r="B12" s="34">
        <f>B11/0.95</f>
        <v>7668942.1518359194</v>
      </c>
      <c r="C12" s="34">
        <f t="shared" ref="C12:F12" si="7">C11/0.95</f>
        <v>16291075.487823993</v>
      </c>
      <c r="D12" s="34">
        <f t="shared" si="7"/>
        <v>105551937.58163747</v>
      </c>
      <c r="E12" s="34">
        <f t="shared" si="7"/>
        <v>37688928.653544717</v>
      </c>
      <c r="F12" s="34">
        <f t="shared" si="7"/>
        <v>34496802.05041077</v>
      </c>
      <c r="G12" s="34"/>
      <c r="H12" s="37">
        <f t="shared" si="0"/>
        <v>201697685.92525288</v>
      </c>
    </row>
    <row r="13" spans="1:10" x14ac:dyDescent="0.25">
      <c r="B13" s="34"/>
      <c r="C13" s="34"/>
      <c r="D13" s="34"/>
      <c r="E13" s="34"/>
      <c r="F13" s="34"/>
      <c r="G13" s="34"/>
      <c r="H13" s="34"/>
    </row>
    <row r="14" spans="1:10" x14ac:dyDescent="0.25">
      <c r="A14" s="2" t="s">
        <v>22</v>
      </c>
      <c r="B14" s="34">
        <f>B12</f>
        <v>7668942.1518359194</v>
      </c>
      <c r="C14" s="34">
        <f t="shared" ref="C14:F14" si="8">C12</f>
        <v>16291075.487823993</v>
      </c>
      <c r="D14" s="34">
        <f t="shared" si="8"/>
        <v>105551937.58163747</v>
      </c>
      <c r="E14" s="34">
        <f t="shared" si="8"/>
        <v>37688928.653544717</v>
      </c>
      <c r="F14" s="34">
        <f t="shared" si="8"/>
        <v>34496802.05041077</v>
      </c>
      <c r="G14" s="34"/>
      <c r="H14" s="37">
        <f>SUM(B14:F14)</f>
        <v>201697685.92525288</v>
      </c>
    </row>
    <row r="15" spans="1:10" x14ac:dyDescent="0.25">
      <c r="A15" s="2" t="s">
        <v>26</v>
      </c>
      <c r="B15" s="34">
        <f>B14/B2</f>
        <v>136945.39556849856</v>
      </c>
      <c r="C15" s="34">
        <f t="shared" ref="C15:F15" si="9">C14/C2</f>
        <v>144168.80962676101</v>
      </c>
      <c r="D15" s="34">
        <f t="shared" si="9"/>
        <v>187148.82549935722</v>
      </c>
      <c r="E15" s="34">
        <f t="shared" si="9"/>
        <v>166765.1710333837</v>
      </c>
      <c r="F15" s="34">
        <f t="shared" si="9"/>
        <v>204123.08905568504</v>
      </c>
      <c r="G15" s="37"/>
      <c r="H15" s="37">
        <f>H14/H2</f>
        <v>178810.00525288377</v>
      </c>
    </row>
    <row r="16" spans="1:10" x14ac:dyDescent="0.25">
      <c r="A16" t="s">
        <v>23</v>
      </c>
      <c r="B16" s="39">
        <f>B3/B14</f>
        <v>0.77066117894566832</v>
      </c>
      <c r="C16" s="39">
        <f t="shared" ref="C16:F16" si="10">C3/C14</f>
        <v>0.75968059992416559</v>
      </c>
      <c r="D16" s="39">
        <f t="shared" si="10"/>
        <v>0.75062656181674303</v>
      </c>
      <c r="E16" s="39">
        <f t="shared" si="10"/>
        <v>0.75405112364018079</v>
      </c>
      <c r="F16" s="39">
        <f t="shared" si="10"/>
        <v>0.75595036206231403</v>
      </c>
      <c r="G16" s="38"/>
      <c r="H16" s="38">
        <f>H3/H14</f>
        <v>0.75367005973650414</v>
      </c>
    </row>
    <row r="21" spans="1:3" x14ac:dyDescent="0.25">
      <c r="A21" s="8"/>
      <c r="C21" s="8"/>
    </row>
    <row r="22" spans="1:3" x14ac:dyDescent="0.25">
      <c r="C22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A8AB0-B00C-476E-B157-709C95AD51D9}">
  <dimension ref="A1:J22"/>
  <sheetViews>
    <sheetView zoomScale="85" zoomScaleNormal="85" workbookViewId="0">
      <selection activeCell="H1" sqref="H1:H16"/>
    </sheetView>
  </sheetViews>
  <sheetFormatPr defaultRowHeight="15" x14ac:dyDescent="0.25"/>
  <cols>
    <col min="1" max="1" width="43.140625" customWidth="1"/>
    <col min="2" max="2" width="19.7109375" customWidth="1"/>
    <col min="3" max="3" width="24.140625" customWidth="1"/>
    <col min="4" max="4" width="20.5703125" customWidth="1"/>
    <col min="5" max="5" width="23.42578125" customWidth="1"/>
    <col min="6" max="6" width="21.42578125" customWidth="1"/>
    <col min="7" max="7" width="9.140625" customWidth="1"/>
    <col min="8" max="8" width="17.28515625" customWidth="1"/>
    <col min="9" max="9" width="20" customWidth="1"/>
  </cols>
  <sheetData>
    <row r="1" spans="1:10" x14ac:dyDescent="0.25">
      <c r="A1" t="s">
        <v>48</v>
      </c>
      <c r="B1" t="s">
        <v>14</v>
      </c>
      <c r="C1" t="s">
        <v>15</v>
      </c>
      <c r="D1" t="s">
        <v>18</v>
      </c>
      <c r="E1" t="s">
        <v>16</v>
      </c>
      <c r="F1" t="s">
        <v>17</v>
      </c>
      <c r="H1" t="s">
        <v>27</v>
      </c>
      <c r="I1" t="s">
        <v>28</v>
      </c>
    </row>
    <row r="2" spans="1:10" x14ac:dyDescent="0.25">
      <c r="A2" t="s">
        <v>13</v>
      </c>
      <c r="B2" s="32">
        <v>39</v>
      </c>
      <c r="C2" s="32">
        <v>77</v>
      </c>
      <c r="D2" s="32">
        <v>387</v>
      </c>
      <c r="E2" s="32">
        <v>155</v>
      </c>
      <c r="F2" s="33">
        <v>116</v>
      </c>
      <c r="G2" s="34"/>
      <c r="H2" s="37">
        <f>SUM(B2:F2)</f>
        <v>774</v>
      </c>
      <c r="I2" s="14"/>
    </row>
    <row r="3" spans="1:10" x14ac:dyDescent="0.25">
      <c r="A3" t="s">
        <v>19</v>
      </c>
      <c r="B3" s="8">
        <v>3214401</v>
      </c>
      <c r="C3" s="8">
        <v>6569555</v>
      </c>
      <c r="D3" s="8">
        <v>40150841</v>
      </c>
      <c r="E3" s="8">
        <v>17595268</v>
      </c>
      <c r="F3" s="8">
        <v>14033563</v>
      </c>
      <c r="G3" s="34"/>
      <c r="H3" s="37">
        <f t="shared" ref="H3:I12" si="0">SUM(B3:F3)</f>
        <v>81563628</v>
      </c>
      <c r="I3" s="14">
        <v>286026916</v>
      </c>
      <c r="J3" s="8"/>
    </row>
    <row r="4" spans="1:10" x14ac:dyDescent="0.25">
      <c r="A4" t="s">
        <v>31</v>
      </c>
      <c r="B4" s="11">
        <f>B3/SUM($B$3:$F$3)</f>
        <v>3.9409735427659007E-2</v>
      </c>
      <c r="C4" s="11">
        <f>C3/SUM($B$3:$F$3)</f>
        <v>8.054515426900824E-2</v>
      </c>
      <c r="D4" s="11">
        <f>D3/SUM($B$3:$F$3)</f>
        <v>0.4922640395544936</v>
      </c>
      <c r="E4" s="11">
        <f>E3/SUM($B$3:$F$3)</f>
        <v>0.21572444031057569</v>
      </c>
      <c r="F4" s="11">
        <f>F3/SUM($B$3:$F$3)</f>
        <v>0.1720566304382635</v>
      </c>
      <c r="G4" s="34"/>
      <c r="H4" s="37">
        <f t="shared" si="0"/>
        <v>1</v>
      </c>
      <c r="I4" s="14">
        <f t="shared" si="0"/>
        <v>0.96059026457234098</v>
      </c>
    </row>
    <row r="5" spans="1:10" x14ac:dyDescent="0.25">
      <c r="A5" t="s">
        <v>20</v>
      </c>
      <c r="B5">
        <v>2991783</v>
      </c>
      <c r="C5">
        <v>6331021</v>
      </c>
      <c r="D5">
        <v>39847734</v>
      </c>
      <c r="E5">
        <v>17267657</v>
      </c>
      <c r="F5">
        <v>13687679</v>
      </c>
      <c r="G5" s="34"/>
      <c r="H5" s="37">
        <f t="shared" si="0"/>
        <v>80125874</v>
      </c>
      <c r="I5" s="14">
        <v>283213208</v>
      </c>
    </row>
    <row r="6" spans="1:10" x14ac:dyDescent="0.25">
      <c r="A6" t="s">
        <v>55</v>
      </c>
      <c r="B6" s="11">
        <f>$I$6*B4</f>
        <v>5711769.8053961629</v>
      </c>
      <c r="C6" s="11">
        <f t="shared" ref="C6:F6" si="1">$I$6*C4</f>
        <v>11673648.024589771</v>
      </c>
      <c r="D6" s="11">
        <f t="shared" si="1"/>
        <v>71345286.815510035</v>
      </c>
      <c r="E6" s="11">
        <f t="shared" si="1"/>
        <v>31265582.757177256</v>
      </c>
      <c r="F6" s="11">
        <f t="shared" si="1"/>
        <v>24936677.597326778</v>
      </c>
      <c r="G6" s="34"/>
      <c r="H6" s="37">
        <f t="shared" si="0"/>
        <v>144932965</v>
      </c>
      <c r="I6" s="8">
        <v>144932965</v>
      </c>
    </row>
    <row r="7" spans="1:10" x14ac:dyDescent="0.25">
      <c r="A7" t="s">
        <v>54</v>
      </c>
      <c r="B7" s="11">
        <f>$I$7*B4</f>
        <v>3946584.1491597947</v>
      </c>
      <c r="C7" s="11">
        <f t="shared" ref="C7:F7" si="2">$I$7*C4</f>
        <v>8065982.3183334861</v>
      </c>
      <c r="D7" s="11">
        <f t="shared" si="2"/>
        <v>49296485.617704578</v>
      </c>
      <c r="E7" s="11">
        <f t="shared" si="2"/>
        <v>21603155.856726825</v>
      </c>
      <c r="F7" s="11">
        <f t="shared" si="2"/>
        <v>17230158.058075324</v>
      </c>
      <c r="G7" s="34"/>
      <c r="H7" s="37">
        <f t="shared" si="0"/>
        <v>100142366.00000001</v>
      </c>
      <c r="I7" s="8">
        <v>100142366</v>
      </c>
    </row>
    <row r="8" spans="1:10" x14ac:dyDescent="0.25">
      <c r="A8" s="35" t="s">
        <v>52</v>
      </c>
      <c r="B8" s="11">
        <f>0.12*(B6-B3)+0.18*(B7-B3)+B5</f>
        <v>3423260.2234963025</v>
      </c>
      <c r="C8" s="11">
        <f t="shared" ref="C8:F8" si="3">0.12*(C6-C3)+0.18*(C7-C3)+C5</f>
        <v>7212869.0802507997</v>
      </c>
      <c r="D8" s="11">
        <f t="shared" si="3"/>
        <v>45237283.529048026</v>
      </c>
      <c r="E8" s="11">
        <f t="shared" si="3"/>
        <v>19629514.5850721</v>
      </c>
      <c r="F8" s="11">
        <f t="shared" si="3"/>
        <v>15571439.862132771</v>
      </c>
      <c r="G8" s="34"/>
      <c r="H8" s="37">
        <f t="shared" si="0"/>
        <v>91074367.280000001</v>
      </c>
    </row>
    <row r="9" spans="1:10" x14ac:dyDescent="0.25">
      <c r="A9" s="35" t="s">
        <v>30</v>
      </c>
      <c r="B9" s="34">
        <f>B8/$I$9</f>
        <v>3398761.94737959</v>
      </c>
      <c r="C9" s="34">
        <f t="shared" ref="C9:F9" si="4">C8/$I$9</f>
        <v>7161250.7845954355</v>
      </c>
      <c r="D9" s="34">
        <f t="shared" si="4"/>
        <v>44913546.684545815</v>
      </c>
      <c r="E9" s="34">
        <f t="shared" si="4"/>
        <v>19489037.602036618</v>
      </c>
      <c r="F9" s="34">
        <f t="shared" si="4"/>
        <v>15460004.152203685</v>
      </c>
      <c r="G9" s="34"/>
      <c r="H9" s="37">
        <f t="shared" si="0"/>
        <v>90422601.170761138</v>
      </c>
      <c r="I9" s="8">
        <v>1.0072080000000001</v>
      </c>
    </row>
    <row r="10" spans="1:10" x14ac:dyDescent="0.25">
      <c r="A10" s="35" t="s">
        <v>49</v>
      </c>
      <c r="B10" s="34">
        <f>B9+1.5*$I10*B4</f>
        <v>3851416.7693679277</v>
      </c>
      <c r="C10" s="34">
        <f t="shared" ref="C10:F10" si="5">C9+1.5*$I10*C4</f>
        <v>8086381.3918431289</v>
      </c>
      <c r="D10" s="34">
        <f t="shared" si="5"/>
        <v>50567624.002695307</v>
      </c>
      <c r="E10" s="34">
        <f t="shared" si="5"/>
        <v>21966818.969195567</v>
      </c>
      <c r="F10" s="34">
        <f t="shared" si="5"/>
        <v>17436223.037659209</v>
      </c>
      <c r="G10" s="34"/>
      <c r="H10" s="37">
        <f t="shared" si="0"/>
        <v>101908464.17076115</v>
      </c>
      <c r="I10" s="8">
        <v>7657242</v>
      </c>
    </row>
    <row r="11" spans="1:10" x14ac:dyDescent="0.25">
      <c r="A11" s="35" t="s">
        <v>21</v>
      </c>
      <c r="B11" s="34">
        <f>B10+$I11*B4</f>
        <v>3911996.2323752623</v>
      </c>
      <c r="C11" s="34">
        <f t="shared" ref="C11:F11" si="6">C10+$I11*C4</f>
        <v>8210192.9866308207</v>
      </c>
      <c r="D11" s="34">
        <f t="shared" si="6"/>
        <v>51324317.516377285</v>
      </c>
      <c r="E11" s="34">
        <f t="shared" si="6"/>
        <v>22298424.107107773</v>
      </c>
      <c r="F11" s="34">
        <f t="shared" si="6"/>
        <v>17700703.328269996</v>
      </c>
      <c r="G11" s="34"/>
      <c r="H11" s="37">
        <f t="shared" si="0"/>
        <v>103445634.17076114</v>
      </c>
      <c r="I11" s="8">
        <v>1537170</v>
      </c>
    </row>
    <row r="12" spans="1:10" x14ac:dyDescent="0.25">
      <c r="A12" s="35" t="s">
        <v>24</v>
      </c>
      <c r="B12" s="34">
        <f>B11/0.95</f>
        <v>4117890.770921329</v>
      </c>
      <c r="C12" s="34">
        <f t="shared" ref="C12:F12" si="7">C11/0.95</f>
        <v>8642308.4069798123</v>
      </c>
      <c r="D12" s="34">
        <f t="shared" si="7"/>
        <v>54025597.385660306</v>
      </c>
      <c r="E12" s="34">
        <f t="shared" si="7"/>
        <v>23472025.375902921</v>
      </c>
      <c r="F12" s="34">
        <f t="shared" si="7"/>
        <v>18632319.292915788</v>
      </c>
      <c r="G12" s="34"/>
      <c r="H12" s="37">
        <f t="shared" si="0"/>
        <v>108890141.23238015</v>
      </c>
    </row>
    <row r="13" spans="1:10" x14ac:dyDescent="0.25">
      <c r="B13" s="34"/>
      <c r="C13" s="34"/>
      <c r="D13" s="34"/>
      <c r="E13" s="34"/>
      <c r="F13" s="34"/>
      <c r="G13" s="34"/>
      <c r="H13" s="34"/>
    </row>
    <row r="14" spans="1:10" x14ac:dyDescent="0.25">
      <c r="A14" s="2" t="s">
        <v>22</v>
      </c>
      <c r="B14" s="34">
        <f>B12</f>
        <v>4117890.770921329</v>
      </c>
      <c r="C14" s="34">
        <f t="shared" ref="C14:F14" si="8">C12</f>
        <v>8642308.4069798123</v>
      </c>
      <c r="D14" s="34">
        <f t="shared" si="8"/>
        <v>54025597.385660306</v>
      </c>
      <c r="E14" s="34">
        <f t="shared" si="8"/>
        <v>23472025.375902921</v>
      </c>
      <c r="F14" s="34">
        <f t="shared" si="8"/>
        <v>18632319.292915788</v>
      </c>
      <c r="G14" s="34"/>
      <c r="H14" s="37">
        <f>SUM(B14:F14)</f>
        <v>108890141.23238015</v>
      </c>
    </row>
    <row r="15" spans="1:10" x14ac:dyDescent="0.25">
      <c r="A15" s="2" t="s">
        <v>26</v>
      </c>
      <c r="B15" s="34">
        <f>B14/B2</f>
        <v>105586.94284413665</v>
      </c>
      <c r="C15" s="34">
        <f t="shared" ref="C15:F15" si="9">C14/C2</f>
        <v>112237.77151921834</v>
      </c>
      <c r="D15" s="34">
        <f t="shared" si="9"/>
        <v>139601.02683633153</v>
      </c>
      <c r="E15" s="34">
        <f t="shared" si="9"/>
        <v>151432.42178001883</v>
      </c>
      <c r="F15" s="34">
        <f t="shared" si="9"/>
        <v>160623.44218030851</v>
      </c>
      <c r="G15" s="37"/>
      <c r="H15" s="37">
        <f>H14/H2</f>
        <v>140684.93699273921</v>
      </c>
    </row>
    <row r="16" spans="1:10" x14ac:dyDescent="0.25">
      <c r="A16" t="s">
        <v>23</v>
      </c>
      <c r="B16" s="39">
        <f>B3/B14</f>
        <v>0.78059404166294</v>
      </c>
      <c r="C16" s="39">
        <f t="shared" ref="C16:F16" si="10">C3/C14</f>
        <v>0.76016206441952605</v>
      </c>
      <c r="D16" s="39">
        <f t="shared" si="10"/>
        <v>0.74318180534653377</v>
      </c>
      <c r="E16" s="39">
        <f t="shared" si="10"/>
        <v>0.74962717184448113</v>
      </c>
      <c r="F16" s="39">
        <f t="shared" si="10"/>
        <v>0.75318390477216191</v>
      </c>
      <c r="G16" s="38"/>
      <c r="H16" s="38">
        <f>H3/H14</f>
        <v>0.74904511167762</v>
      </c>
    </row>
    <row r="20" spans="1:4" x14ac:dyDescent="0.25">
      <c r="B20" s="8"/>
    </row>
    <row r="21" spans="1:4" x14ac:dyDescent="0.25">
      <c r="A21" s="8"/>
      <c r="D21" s="8"/>
    </row>
    <row r="22" spans="1:4" x14ac:dyDescent="0.25">
      <c r="D22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C1216-B741-4798-9D3F-FC8344D73E63}">
  <dimension ref="A1:P16"/>
  <sheetViews>
    <sheetView workbookViewId="0">
      <selection activeCell="F19" sqref="F19"/>
    </sheetView>
  </sheetViews>
  <sheetFormatPr defaultRowHeight="15" x14ac:dyDescent="0.25"/>
  <cols>
    <col min="1" max="1" width="42.28515625" bestFit="1" customWidth="1"/>
    <col min="2" max="5" width="12.5703125" bestFit="1" customWidth="1"/>
    <col min="11" max="11" width="13.7109375" bestFit="1" customWidth="1"/>
    <col min="12" max="12" width="12.5703125" bestFit="1" customWidth="1"/>
    <col min="13" max="13" width="17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27</v>
      </c>
      <c r="K1" s="10" t="str" cm="1">
        <f t="array" ref="K1:L5">TRANSPOSE('loss and return-short'!M1:Q2)</f>
        <v>Solar system</v>
      </c>
      <c r="L1" s="10" t="str">
        <v>Premium</v>
      </c>
      <c r="M1" s="10" t="s">
        <v>25</v>
      </c>
      <c r="N1" t="s">
        <v>23</v>
      </c>
      <c r="P1" t="s">
        <v>56</v>
      </c>
    </row>
    <row r="2" spans="1:16" x14ac:dyDescent="0.25">
      <c r="A2" t="s">
        <v>13</v>
      </c>
      <c r="B2" s="34">
        <v>1160</v>
      </c>
      <c r="C2" s="34">
        <v>1128</v>
      </c>
      <c r="D2" s="34">
        <v>774</v>
      </c>
      <c r="E2" s="14">
        <f>SUM(B2:D2)</f>
        <v>3062</v>
      </c>
      <c r="K2" s="10" t="str">
        <v>Helionis</v>
      </c>
      <c r="L2" s="10">
        <v>349478701.24752986</v>
      </c>
      <c r="M2" s="10">
        <f>L2/P2</f>
        <v>301274.74245476711</v>
      </c>
      <c r="N2" s="39">
        <v>0.81843876316059661</v>
      </c>
      <c r="P2">
        <v>1160</v>
      </c>
    </row>
    <row r="3" spans="1:16" x14ac:dyDescent="0.25">
      <c r="A3" t="s">
        <v>19</v>
      </c>
      <c r="B3" s="11">
        <v>286026916</v>
      </c>
      <c r="C3" s="11">
        <v>152013507</v>
      </c>
      <c r="D3" s="11">
        <v>81563628</v>
      </c>
      <c r="E3" s="14">
        <f>SUM(B3:D3)</f>
        <v>519604051</v>
      </c>
      <c r="K3" s="10" t="str">
        <v>Bayesia</v>
      </c>
      <c r="L3" s="10">
        <v>201697685.92525288</v>
      </c>
      <c r="M3" s="10">
        <f>L3/P3</f>
        <v>178810.00525288377</v>
      </c>
      <c r="N3" s="43">
        <v>0.75367005973650414</v>
      </c>
      <c r="P3">
        <v>1128</v>
      </c>
    </row>
    <row r="4" spans="1:16" hidden="1" x14ac:dyDescent="0.25">
      <c r="A4" t="s">
        <v>31</v>
      </c>
      <c r="B4" s="11">
        <v>0.99999999999999989</v>
      </c>
      <c r="C4" s="11">
        <v>1</v>
      </c>
      <c r="D4" s="11">
        <v>1</v>
      </c>
      <c r="E4" s="14">
        <f t="shared" ref="E4:E12" si="0">SUM(B4:D4)</f>
        <v>3</v>
      </c>
      <c r="K4" s="10" t="str">
        <v>Oryn Delta</v>
      </c>
      <c r="L4" s="10">
        <v>108890141.23238015</v>
      </c>
      <c r="M4" s="10">
        <f>L4/P4</f>
        <v>140684.93699273921</v>
      </c>
      <c r="N4" s="43">
        <v>0.74904511167762</v>
      </c>
      <c r="P4">
        <v>774</v>
      </c>
    </row>
    <row r="5" spans="1:16" x14ac:dyDescent="0.25">
      <c r="A5" t="s">
        <v>20</v>
      </c>
      <c r="B5" s="11">
        <v>283213208</v>
      </c>
      <c r="C5" s="11">
        <v>150635565</v>
      </c>
      <c r="D5" s="11">
        <v>80125874</v>
      </c>
      <c r="E5" s="14">
        <f t="shared" si="0"/>
        <v>513974647</v>
      </c>
      <c r="K5" s="37" t="str">
        <v>Total</v>
      </c>
      <c r="L5" s="37">
        <v>660066528.40516293</v>
      </c>
      <c r="M5" s="10">
        <f>L5/P5</f>
        <v>215567.1222747103</v>
      </c>
      <c r="N5" s="38">
        <f>('oryn premium'!H3+'bayesia premium'!H3+'helionis premium'!H3)/L5</f>
        <v>0.7871995149571589</v>
      </c>
      <c r="P5">
        <f>SUM(P2:P4)</f>
        <v>3062</v>
      </c>
    </row>
    <row r="6" spans="1:16" hidden="1" x14ac:dyDescent="0.25">
      <c r="A6" t="s">
        <v>53</v>
      </c>
      <c r="B6" s="11">
        <v>469953066</v>
      </c>
      <c r="C6" s="11">
        <v>313192468</v>
      </c>
      <c r="D6" s="11">
        <v>144932965</v>
      </c>
      <c r="E6" s="14">
        <f t="shared" si="0"/>
        <v>928078499</v>
      </c>
    </row>
    <row r="7" spans="1:16" hidden="1" x14ac:dyDescent="0.25">
      <c r="A7" t="s">
        <v>54</v>
      </c>
      <c r="B7" s="11">
        <v>310672653</v>
      </c>
      <c r="C7" s="11">
        <v>192942190.99999997</v>
      </c>
      <c r="D7" s="11">
        <v>100142366.00000001</v>
      </c>
      <c r="E7" s="14">
        <f t="shared" si="0"/>
        <v>603757210</v>
      </c>
    </row>
    <row r="8" spans="1:16" x14ac:dyDescent="0.25">
      <c r="A8" t="s">
        <v>50</v>
      </c>
      <c r="B8" s="11">
        <v>309720578.65999997</v>
      </c>
      <c r="C8" s="11">
        <v>174939197.89999998</v>
      </c>
      <c r="D8" s="11">
        <v>91074367.280000001</v>
      </c>
      <c r="E8" s="14">
        <f t="shared" si="0"/>
        <v>575734143.83999991</v>
      </c>
    </row>
    <row r="9" spans="1:16" x14ac:dyDescent="0.25">
      <c r="A9" t="s">
        <v>29</v>
      </c>
      <c r="B9" s="34">
        <v>307504089.18515337</v>
      </c>
      <c r="C9" s="34">
        <v>173687260.12899023</v>
      </c>
      <c r="D9" s="34">
        <v>90422601.170761138</v>
      </c>
      <c r="E9" s="14">
        <f t="shared" si="0"/>
        <v>571613950.48490477</v>
      </c>
    </row>
    <row r="10" spans="1:16" x14ac:dyDescent="0.25">
      <c r="A10" t="s">
        <v>49</v>
      </c>
      <c r="B10" s="34">
        <v>329054526.18515331</v>
      </c>
      <c r="C10" s="34">
        <v>189506771.62899023</v>
      </c>
      <c r="D10" s="34">
        <v>101908464.17076115</v>
      </c>
      <c r="E10" s="14">
        <f t="shared" si="0"/>
        <v>620469761.98490465</v>
      </c>
    </row>
    <row r="11" spans="1:16" x14ac:dyDescent="0.25">
      <c r="A11" t="s">
        <v>21</v>
      </c>
      <c r="B11" s="34">
        <v>332004766.18515337</v>
      </c>
      <c r="C11" s="34">
        <v>191612801.6289902</v>
      </c>
      <c r="D11" s="34">
        <v>103445634.17076114</v>
      </c>
      <c r="E11" s="14">
        <f t="shared" si="0"/>
        <v>627063201.98490465</v>
      </c>
    </row>
    <row r="12" spans="1:16" x14ac:dyDescent="0.25">
      <c r="A12" t="s">
        <v>24</v>
      </c>
      <c r="B12" s="34">
        <v>349478701.24752986</v>
      </c>
      <c r="C12" s="34">
        <v>201697685.92525288</v>
      </c>
      <c r="D12" s="34">
        <v>108890141.23238015</v>
      </c>
      <c r="E12" s="14">
        <f t="shared" si="0"/>
        <v>660066528.40516293</v>
      </c>
    </row>
    <row r="13" spans="1:16" x14ac:dyDescent="0.25">
      <c r="B13" s="34"/>
      <c r="C13" s="34"/>
      <c r="D13" s="34"/>
    </row>
    <row r="14" spans="1:16" x14ac:dyDescent="0.25">
      <c r="A14" t="s">
        <v>22</v>
      </c>
      <c r="B14" s="34">
        <v>349478701.24752986</v>
      </c>
      <c r="C14" s="34">
        <v>201697685.92525288</v>
      </c>
      <c r="D14" s="34">
        <v>108890141.23238015</v>
      </c>
      <c r="E14" s="37">
        <v>660066528.40516293</v>
      </c>
    </row>
    <row r="15" spans="1:16" x14ac:dyDescent="0.25">
      <c r="A15" t="s">
        <v>26</v>
      </c>
      <c r="B15" s="34">
        <v>301274.74245476711</v>
      </c>
      <c r="C15" s="34">
        <v>178810.00525288377</v>
      </c>
      <c r="D15" s="34">
        <v>140684.93699273921</v>
      </c>
      <c r="E15" s="37">
        <v>215567.1222747103</v>
      </c>
    </row>
    <row r="16" spans="1:16" x14ac:dyDescent="0.25">
      <c r="A16" t="s">
        <v>23</v>
      </c>
      <c r="B16" s="44">
        <v>0.81843876316059661</v>
      </c>
      <c r="C16" s="44">
        <v>0.75367005973650414</v>
      </c>
      <c r="D16" s="44">
        <v>0.74904511167762</v>
      </c>
      <c r="E16" s="45">
        <v>0.7871995149571589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EB288-90E7-4FDB-A2EA-F4080691C5B6}">
  <dimension ref="A1:Q8"/>
  <sheetViews>
    <sheetView zoomScale="80" zoomScaleNormal="80" workbookViewId="0">
      <selection activeCell="I19" sqref="I19"/>
    </sheetView>
  </sheetViews>
  <sheetFormatPr defaultRowHeight="15" x14ac:dyDescent="0.25"/>
  <cols>
    <col min="1" max="1" width="31" customWidth="1"/>
    <col min="2" max="3" width="13.42578125" bestFit="1" customWidth="1"/>
    <col min="4" max="4" width="15.28515625" bestFit="1" customWidth="1"/>
    <col min="5" max="5" width="13.42578125" bestFit="1" customWidth="1"/>
    <col min="7" max="7" width="29.42578125" bestFit="1" customWidth="1"/>
    <col min="8" max="8" width="18.42578125" customWidth="1"/>
    <col min="9" max="9" width="15" customWidth="1"/>
    <col min="10" max="10" width="14.28515625" bestFit="1" customWidth="1"/>
    <col min="11" max="11" width="13.42578125" bestFit="1" customWidth="1"/>
    <col min="12" max="12" width="13.42578125" customWidth="1"/>
    <col min="13" max="13" width="15.42578125" customWidth="1"/>
    <col min="14" max="14" width="13.7109375" customWidth="1"/>
    <col min="15" max="15" width="17.42578125" customWidth="1"/>
    <col min="16" max="16" width="15.28515625" bestFit="1" customWidth="1"/>
    <col min="17" max="17" width="12.5703125" bestFit="1" customWidth="1"/>
  </cols>
  <sheetData>
    <row r="1" spans="1:17" x14ac:dyDescent="0.25">
      <c r="A1" s="46" t="s">
        <v>37</v>
      </c>
      <c r="B1" s="46" t="s">
        <v>1</v>
      </c>
      <c r="C1" s="46" t="s">
        <v>2</v>
      </c>
      <c r="D1" s="46" t="s">
        <v>3</v>
      </c>
      <c r="E1" s="46" t="s">
        <v>27</v>
      </c>
      <c r="G1" s="1" t="s">
        <v>38</v>
      </c>
      <c r="H1" s="46" t="s">
        <v>1</v>
      </c>
      <c r="I1" s="46" t="s">
        <v>2</v>
      </c>
      <c r="J1" s="46" t="s">
        <v>3</v>
      </c>
      <c r="K1" s="46" t="s">
        <v>27</v>
      </c>
      <c r="M1" t="s">
        <v>0</v>
      </c>
      <c r="N1" t="s">
        <v>1</v>
      </c>
      <c r="O1" t="s">
        <v>2</v>
      </c>
      <c r="P1" t="s">
        <v>47</v>
      </c>
      <c r="Q1" t="s">
        <v>27</v>
      </c>
    </row>
    <row r="2" spans="1:17" x14ac:dyDescent="0.25">
      <c r="A2" s="47" t="s">
        <v>42</v>
      </c>
      <c r="B2" s="48">
        <v>286026916</v>
      </c>
      <c r="C2" s="48">
        <v>152013508</v>
      </c>
      <c r="D2" s="48">
        <v>81563628</v>
      </c>
      <c r="E2" s="48">
        <v>519604052</v>
      </c>
      <c r="G2" t="s">
        <v>39</v>
      </c>
      <c r="H2" s="10">
        <f>0.95*N$2-B2</f>
        <v>45977850.185153365</v>
      </c>
      <c r="I2" s="10">
        <f>0.95*O$2-C2</f>
        <v>39599293.628990233</v>
      </c>
      <c r="J2" s="10">
        <f>0.95*P$2-D2</f>
        <v>21882006.170761138</v>
      </c>
      <c r="K2" s="10">
        <f>0.95*Q$2-E2</f>
        <v>107459149.98490477</v>
      </c>
      <c r="L2" s="10"/>
      <c r="M2" t="s">
        <v>46</v>
      </c>
      <c r="N2" s="34">
        <v>349478701.24752986</v>
      </c>
      <c r="O2" s="10">
        <v>201697685.92525288</v>
      </c>
      <c r="P2" s="10">
        <v>108890141.23238015</v>
      </c>
      <c r="Q2" s="14">
        <f>SUM(N2:P2)</f>
        <v>660066528.40516293</v>
      </c>
    </row>
    <row r="3" spans="1:17" x14ac:dyDescent="0.25">
      <c r="A3" s="47" t="s">
        <v>32</v>
      </c>
      <c r="B3" s="48">
        <v>14366958</v>
      </c>
      <c r="C3" s="48">
        <v>10546341</v>
      </c>
      <c r="D3" s="48">
        <v>7657242</v>
      </c>
      <c r="E3" s="48">
        <v>19372444</v>
      </c>
      <c r="G3" t="s">
        <v>40</v>
      </c>
      <c r="H3" s="10">
        <f>B3</f>
        <v>14366958</v>
      </c>
      <c r="I3" s="10">
        <f t="shared" ref="I3:J3" si="0">C3</f>
        <v>10546341</v>
      </c>
      <c r="J3" s="10">
        <f t="shared" si="0"/>
        <v>7657242</v>
      </c>
      <c r="K3" s="10">
        <f>E3</f>
        <v>19372444</v>
      </c>
      <c r="L3" s="10"/>
    </row>
    <row r="4" spans="1:17" x14ac:dyDescent="0.25">
      <c r="A4" s="47" t="s">
        <v>33</v>
      </c>
      <c r="B4" s="48">
        <v>310372683</v>
      </c>
      <c r="C4" s="48">
        <v>169706682</v>
      </c>
      <c r="D4" s="48">
        <v>94266863</v>
      </c>
      <c r="E4" s="48">
        <v>551571812</v>
      </c>
      <c r="G4" t="s">
        <v>33</v>
      </c>
      <c r="H4" s="10">
        <f>0.95*N$2-B4</f>
        <v>21632083.185153365</v>
      </c>
      <c r="I4" s="10">
        <f>0.95*O$2-C4</f>
        <v>21906119.628990233</v>
      </c>
      <c r="J4" s="10">
        <f>0.95*P$2-D4</f>
        <v>9178771.1707611382</v>
      </c>
      <c r="K4" s="10">
        <f>0.95*Q$2-E4</f>
        <v>75491389.984904766</v>
      </c>
      <c r="L4" s="10"/>
    </row>
    <row r="5" spans="1:17" x14ac:dyDescent="0.25">
      <c r="A5" s="47" t="s">
        <v>34</v>
      </c>
      <c r="B5" s="48">
        <v>321067044</v>
      </c>
      <c r="C5" s="48">
        <v>177930554</v>
      </c>
      <c r="D5" s="48">
        <v>99969086</v>
      </c>
      <c r="E5" s="48">
        <v>565539346</v>
      </c>
      <c r="G5" t="s">
        <v>34</v>
      </c>
      <c r="H5" s="10">
        <f t="shared" ref="H5:H8" si="1">0.95*N$2-B5</f>
        <v>10937722.185153365</v>
      </c>
      <c r="I5" s="10">
        <f t="shared" ref="I5:I8" si="2">0.95*O$2-C5</f>
        <v>13682247.628990233</v>
      </c>
      <c r="J5" s="10">
        <f>0.95*P$2-D5</f>
        <v>3476548.1707611382</v>
      </c>
      <c r="K5" s="10">
        <f>0.95*Q$2-E5</f>
        <v>61523855.984904766</v>
      </c>
      <c r="L5" s="10"/>
    </row>
    <row r="6" spans="1:17" x14ac:dyDescent="0.25">
      <c r="A6" s="47" t="s">
        <v>43</v>
      </c>
      <c r="B6" s="48">
        <v>325574364</v>
      </c>
      <c r="C6" s="48">
        <v>180244480</v>
      </c>
      <c r="D6" s="48">
        <v>102169130</v>
      </c>
      <c r="E6" s="48">
        <v>571352510</v>
      </c>
      <c r="G6" t="s">
        <v>43</v>
      </c>
      <c r="H6" s="10">
        <f t="shared" si="1"/>
        <v>6430402.1851533651</v>
      </c>
      <c r="I6" s="10">
        <f t="shared" si="2"/>
        <v>11368321.628990233</v>
      </c>
      <c r="J6" s="10">
        <f>0.95*P$2-D6</f>
        <v>1276504.1707611382</v>
      </c>
      <c r="K6" s="10">
        <f>0.95*Q$2-E6</f>
        <v>55710691.984904766</v>
      </c>
      <c r="L6" s="10"/>
    </row>
    <row r="7" spans="1:17" x14ac:dyDescent="0.25">
      <c r="A7" s="47" t="s">
        <v>35</v>
      </c>
      <c r="B7" s="48">
        <v>316947526</v>
      </c>
      <c r="C7" s="48">
        <v>174635127</v>
      </c>
      <c r="D7" s="48">
        <v>97939490</v>
      </c>
      <c r="E7" s="48">
        <v>560534130</v>
      </c>
      <c r="G7" t="s">
        <v>44</v>
      </c>
      <c r="H7" s="10">
        <f t="shared" si="1"/>
        <v>15057240.185153365</v>
      </c>
      <c r="I7" s="10">
        <f t="shared" si="2"/>
        <v>16977674.628990233</v>
      </c>
      <c r="J7" s="10">
        <f>0.95*P$2-D7</f>
        <v>5506144.1707611382</v>
      </c>
      <c r="K7" s="10">
        <f>0.95*Q$2-E7</f>
        <v>66529071.984904766</v>
      </c>
      <c r="L7" s="10"/>
    </row>
    <row r="8" spans="1:17" x14ac:dyDescent="0.25">
      <c r="A8" s="47" t="s">
        <v>36</v>
      </c>
      <c r="B8" s="48">
        <v>326643111</v>
      </c>
      <c r="C8" s="48">
        <v>181504717</v>
      </c>
      <c r="D8" s="48">
        <v>103323869</v>
      </c>
      <c r="E8" s="48">
        <v>573120410</v>
      </c>
      <c r="G8" t="s">
        <v>45</v>
      </c>
      <c r="H8" s="10">
        <f t="shared" si="1"/>
        <v>5361655.1851533651</v>
      </c>
      <c r="I8" s="10">
        <f t="shared" si="2"/>
        <v>10108084.628990233</v>
      </c>
      <c r="J8" s="10">
        <f>0.95*P$2-D8</f>
        <v>121765.1707611382</v>
      </c>
      <c r="K8" s="10">
        <f>0.95*Q$2-E8</f>
        <v>53942791.984904766</v>
      </c>
      <c r="L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B24AF-E089-4169-BD8D-6EEACC2B8246}">
  <dimension ref="A1:P8"/>
  <sheetViews>
    <sheetView workbookViewId="0">
      <selection activeCell="C19" sqref="C19"/>
    </sheetView>
  </sheetViews>
  <sheetFormatPr defaultRowHeight="15" x14ac:dyDescent="0.25"/>
  <cols>
    <col min="1" max="1" width="24.140625" customWidth="1"/>
    <col min="2" max="3" width="14.28515625" bestFit="1" customWidth="1"/>
    <col min="4" max="4" width="12.5703125" bestFit="1" customWidth="1"/>
    <col min="5" max="5" width="12.7109375" bestFit="1" customWidth="1"/>
    <col min="7" max="7" width="24.28515625" bestFit="1" customWidth="1"/>
    <col min="8" max="10" width="12.5703125" bestFit="1" customWidth="1"/>
    <col min="11" max="11" width="14.28515625" bestFit="1" customWidth="1"/>
    <col min="13" max="15" width="14.28515625" bestFit="1" customWidth="1"/>
    <col min="16" max="16" width="11" bestFit="1" customWidth="1"/>
  </cols>
  <sheetData>
    <row r="1" spans="1:16" x14ac:dyDescent="0.25">
      <c r="A1" s="46" t="s">
        <v>37</v>
      </c>
      <c r="B1" s="46" t="s">
        <v>1</v>
      </c>
      <c r="C1" s="46" t="s">
        <v>2</v>
      </c>
      <c r="D1" s="46" t="s">
        <v>3</v>
      </c>
      <c r="E1" s="46" t="s">
        <v>27</v>
      </c>
      <c r="G1" s="1" t="s">
        <v>38</v>
      </c>
      <c r="H1" s="46" t="s">
        <v>1</v>
      </c>
      <c r="I1" s="46" t="s">
        <v>2</v>
      </c>
      <c r="J1" s="46" t="s">
        <v>3</v>
      </c>
      <c r="K1" s="46" t="s">
        <v>27</v>
      </c>
      <c r="M1" s="2" t="s">
        <v>41</v>
      </c>
      <c r="N1" s="2"/>
      <c r="O1" s="2"/>
    </row>
    <row r="2" spans="1:16" x14ac:dyDescent="0.25">
      <c r="A2" s="47" t="s">
        <v>42</v>
      </c>
      <c r="B2" s="48">
        <v>2859054809</v>
      </c>
      <c r="C2" s="48">
        <v>1518792352</v>
      </c>
      <c r="D2" s="48">
        <v>816230628</v>
      </c>
      <c r="E2" s="48">
        <v>5194077789</v>
      </c>
      <c r="G2" t="s">
        <v>39</v>
      </c>
      <c r="H2" s="10">
        <f>0.95*M$2-B2</f>
        <v>517984381.25</v>
      </c>
      <c r="I2" s="10">
        <f t="shared" ref="I2:K2" si="0">0.95*N$2-C2</f>
        <v>391715813.64999986</v>
      </c>
      <c r="J2" s="10">
        <f t="shared" si="0"/>
        <v>233302192.5</v>
      </c>
      <c r="K2" s="10">
        <f t="shared" si="0"/>
        <v>1143002387.3999996</v>
      </c>
      <c r="M2" s="42">
        <v>3554778095</v>
      </c>
      <c r="N2" s="42">
        <v>2011061227</v>
      </c>
      <c r="O2" s="42">
        <v>1104771390</v>
      </c>
      <c r="P2">
        <f>SUM(M2:O2)</f>
        <v>6670610712</v>
      </c>
    </row>
    <row r="3" spans="1:16" ht="30" x14ac:dyDescent="0.25">
      <c r="A3" s="47" t="s">
        <v>32</v>
      </c>
      <c r="B3" s="48">
        <v>46085415</v>
      </c>
      <c r="C3" s="48">
        <v>32726617</v>
      </c>
      <c r="D3" s="48">
        <v>24248874</v>
      </c>
      <c r="E3" s="48">
        <v>60953173</v>
      </c>
      <c r="G3" t="s">
        <v>32</v>
      </c>
      <c r="H3" s="10">
        <f>B3</f>
        <v>46085415</v>
      </c>
      <c r="I3" s="10">
        <f t="shared" ref="I3:K3" si="1">C3</f>
        <v>32726617</v>
      </c>
      <c r="J3" s="10">
        <f t="shared" si="1"/>
        <v>24248874</v>
      </c>
      <c r="K3" s="10">
        <f t="shared" si="1"/>
        <v>60953173</v>
      </c>
    </row>
    <row r="4" spans="1:16" x14ac:dyDescent="0.25">
      <c r="A4" s="47" t="s">
        <v>33</v>
      </c>
      <c r="B4" s="48">
        <v>2934398728</v>
      </c>
      <c r="C4" s="48">
        <v>1572173215</v>
      </c>
      <c r="D4" s="48">
        <v>856641892</v>
      </c>
      <c r="E4" s="48">
        <v>5293425359</v>
      </c>
      <c r="G4" t="s">
        <v>33</v>
      </c>
      <c r="H4" s="10">
        <f>0.95*M$2-B4</f>
        <v>442640462.25</v>
      </c>
      <c r="I4" s="10">
        <f t="shared" ref="I4:K8" si="2">0.95*N$2-C4</f>
        <v>338334950.64999986</v>
      </c>
      <c r="J4" s="10">
        <f t="shared" si="2"/>
        <v>192890928.5</v>
      </c>
      <c r="K4" s="10">
        <f t="shared" si="2"/>
        <v>1043654817.3999996</v>
      </c>
    </row>
    <row r="5" spans="1:16" x14ac:dyDescent="0.25">
      <c r="A5" s="47" t="s">
        <v>34</v>
      </c>
      <c r="B5" s="48">
        <v>2967871509</v>
      </c>
      <c r="C5" s="48">
        <v>1596979199</v>
      </c>
      <c r="D5" s="48">
        <v>873375078</v>
      </c>
      <c r="E5" s="48">
        <v>5333802728</v>
      </c>
      <c r="G5" t="s">
        <v>34</v>
      </c>
      <c r="H5" s="10">
        <f t="shared" ref="H5:H8" si="3">0.95*M$2-B5</f>
        <v>409167681.25</v>
      </c>
      <c r="I5" s="10">
        <f t="shared" si="2"/>
        <v>313528966.64999986</v>
      </c>
      <c r="J5" s="10">
        <f t="shared" si="2"/>
        <v>176157742.5</v>
      </c>
      <c r="K5" s="10">
        <f t="shared" si="2"/>
        <v>1003277448.3999996</v>
      </c>
    </row>
    <row r="6" spans="1:16" x14ac:dyDescent="0.25">
      <c r="A6" s="47" t="s">
        <v>43</v>
      </c>
      <c r="B6" s="48">
        <v>2979027197</v>
      </c>
      <c r="C6" s="48">
        <v>1603767659</v>
      </c>
      <c r="D6" s="48">
        <v>880473934</v>
      </c>
      <c r="E6" s="48">
        <v>5353032281</v>
      </c>
      <c r="G6" t="s">
        <v>43</v>
      </c>
      <c r="H6" s="10">
        <f t="shared" si="3"/>
        <v>398011993.25</v>
      </c>
      <c r="I6" s="10">
        <f t="shared" si="2"/>
        <v>306740506.64999986</v>
      </c>
      <c r="J6" s="10">
        <f t="shared" si="2"/>
        <v>169058886.5</v>
      </c>
      <c r="K6" s="10">
        <f t="shared" si="2"/>
        <v>984047895.39999962</v>
      </c>
    </row>
    <row r="7" spans="1:16" x14ac:dyDescent="0.25">
      <c r="A7" s="47" t="s">
        <v>35</v>
      </c>
      <c r="B7" s="48">
        <v>2954817984</v>
      </c>
      <c r="C7" s="48">
        <v>1586702656</v>
      </c>
      <c r="D7" s="48">
        <v>867024739</v>
      </c>
      <c r="E7" s="48">
        <v>5318520707</v>
      </c>
      <c r="G7" t="s">
        <v>44</v>
      </c>
      <c r="H7" s="10">
        <f t="shared" si="3"/>
        <v>422221206.25</v>
      </c>
      <c r="I7" s="10">
        <f t="shared" si="2"/>
        <v>323805509.64999986</v>
      </c>
      <c r="J7" s="10">
        <f t="shared" si="2"/>
        <v>182508081.5</v>
      </c>
      <c r="K7" s="10">
        <f t="shared" si="2"/>
        <v>1018559469.3999996</v>
      </c>
    </row>
    <row r="8" spans="1:16" x14ac:dyDescent="0.25">
      <c r="A8" s="47" t="s">
        <v>36</v>
      </c>
      <c r="B8" s="48">
        <v>2982070474</v>
      </c>
      <c r="C8" s="48">
        <v>1607648151</v>
      </c>
      <c r="D8" s="48">
        <v>882491083</v>
      </c>
      <c r="E8" s="48">
        <v>5356790113</v>
      </c>
      <c r="G8" t="s">
        <v>45</v>
      </c>
      <c r="H8" s="10">
        <f t="shared" si="3"/>
        <v>394968716.25</v>
      </c>
      <c r="I8" s="10">
        <f t="shared" si="2"/>
        <v>302860014.64999986</v>
      </c>
      <c r="J8" s="10">
        <f t="shared" si="2"/>
        <v>167041737.5</v>
      </c>
      <c r="K8" s="10">
        <f t="shared" si="2"/>
        <v>980290063.39999962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53BB-0D5F-44A7-B5B0-11B877CB9EA4}">
  <dimension ref="A1:Q12"/>
  <sheetViews>
    <sheetView workbookViewId="0">
      <selection activeCell="B12" sqref="B11:D12"/>
    </sheetView>
  </sheetViews>
  <sheetFormatPr defaultRowHeight="15" x14ac:dyDescent="0.25"/>
  <cols>
    <col min="1" max="1" width="24.28515625" bestFit="1" customWidth="1"/>
    <col min="2" max="3" width="12.5703125" bestFit="1" customWidth="1"/>
    <col min="4" max="5" width="11.140625" bestFit="1" customWidth="1"/>
    <col min="7" max="7" width="24.28515625" bestFit="1" customWidth="1"/>
    <col min="8" max="9" width="11.5703125" bestFit="1" customWidth="1"/>
    <col min="10" max="10" width="12.5703125" bestFit="1" customWidth="1"/>
    <col min="11" max="11" width="11.5703125" bestFit="1" customWidth="1"/>
    <col min="12" max="12" width="11.5703125" customWidth="1"/>
    <col min="14" max="17" width="12.5703125" bestFit="1" customWidth="1"/>
  </cols>
  <sheetData>
    <row r="1" spans="1:17" x14ac:dyDescent="0.25">
      <c r="A1" s="46" t="s">
        <v>37</v>
      </c>
      <c r="B1" s="46" t="s">
        <v>1</v>
      </c>
      <c r="C1" s="46" t="s">
        <v>2</v>
      </c>
      <c r="D1" s="46" t="s">
        <v>3</v>
      </c>
      <c r="E1" s="46" t="s">
        <v>27</v>
      </c>
      <c r="G1" s="1" t="s">
        <v>38</v>
      </c>
      <c r="H1" s="46" t="s">
        <v>1</v>
      </c>
      <c r="I1" s="46" t="s">
        <v>2</v>
      </c>
      <c r="J1" s="46" t="s">
        <v>3</v>
      </c>
      <c r="K1" s="46" t="s">
        <v>27</v>
      </c>
      <c r="M1" t="s">
        <v>0</v>
      </c>
      <c r="N1" t="s">
        <v>1</v>
      </c>
      <c r="O1" t="s">
        <v>2</v>
      </c>
      <c r="P1" t="s">
        <v>47</v>
      </c>
    </row>
    <row r="2" spans="1:17" x14ac:dyDescent="0.25">
      <c r="A2" s="47" t="s">
        <v>42</v>
      </c>
      <c r="B2" s="48">
        <v>310672653</v>
      </c>
      <c r="C2" s="48">
        <v>192942191</v>
      </c>
      <c r="D2" s="48">
        <v>100142366</v>
      </c>
      <c r="E2" s="48">
        <v>603757210</v>
      </c>
      <c r="G2" t="s">
        <v>39</v>
      </c>
      <c r="H2" s="10">
        <f>0.95*N$2-B2</f>
        <v>21332113.185153365</v>
      </c>
      <c r="I2" s="10">
        <f>0.95*O$2-C2</f>
        <v>-1329389.3710097671</v>
      </c>
      <c r="J2" s="10">
        <f>0.95*P$2-D2</f>
        <v>3303268.1707611382</v>
      </c>
      <c r="K2" s="10">
        <f>0.95*Q$2-E2</f>
        <v>23305991.984904766</v>
      </c>
      <c r="L2" s="10"/>
      <c r="M2" t="s">
        <v>46</v>
      </c>
      <c r="N2" s="34">
        <v>349478701.24752986</v>
      </c>
      <c r="O2" s="10">
        <v>201697685.92525288</v>
      </c>
      <c r="P2" s="10">
        <v>108890141.23238015</v>
      </c>
      <c r="Q2" s="10">
        <f>SUM(N2:P2)</f>
        <v>660066528.40516293</v>
      </c>
    </row>
    <row r="3" spans="1:17" x14ac:dyDescent="0.25">
      <c r="A3" s="47" t="s">
        <v>32</v>
      </c>
      <c r="B3" s="48">
        <v>15081319</v>
      </c>
      <c r="C3" s="48">
        <v>11810197</v>
      </c>
      <c r="D3" s="48">
        <v>8695871</v>
      </c>
      <c r="E3" s="48">
        <v>20910590</v>
      </c>
      <c r="G3" t="s">
        <v>32</v>
      </c>
      <c r="H3" s="10">
        <f>B3</f>
        <v>15081319</v>
      </c>
      <c r="I3" s="10">
        <f t="shared" ref="I3:K3" si="0">C3</f>
        <v>11810197</v>
      </c>
      <c r="J3" s="10">
        <f t="shared" si="0"/>
        <v>8695871</v>
      </c>
      <c r="K3" s="10">
        <f t="shared" si="0"/>
        <v>20910590</v>
      </c>
      <c r="L3" s="10"/>
    </row>
    <row r="4" spans="1:17" x14ac:dyDescent="0.25">
      <c r="A4" s="47" t="s">
        <v>33</v>
      </c>
      <c r="B4" s="48">
        <v>335161314</v>
      </c>
      <c r="C4" s="48">
        <v>212586616</v>
      </c>
      <c r="D4" s="48">
        <v>114652605</v>
      </c>
      <c r="E4" s="48">
        <v>637900562</v>
      </c>
      <c r="G4" t="s">
        <v>33</v>
      </c>
      <c r="H4" s="10">
        <f>0.95*N$2-B4</f>
        <v>-3156547.8148466349</v>
      </c>
      <c r="I4" s="10">
        <f>0.95*O$2-C4</f>
        <v>-20973814.371009767</v>
      </c>
      <c r="J4" s="10">
        <f>0.95*P$2-D4</f>
        <v>-11206970.829238862</v>
      </c>
      <c r="K4" s="10">
        <f>0.95*Q$2-E4</f>
        <v>-10837360.015095234</v>
      </c>
      <c r="L4" s="10"/>
    </row>
    <row r="5" spans="1:17" x14ac:dyDescent="0.25">
      <c r="A5" s="47" t="s">
        <v>34</v>
      </c>
      <c r="B5" s="48">
        <v>346740955</v>
      </c>
      <c r="C5" s="48">
        <v>220087810</v>
      </c>
      <c r="D5" s="48">
        <v>120857006</v>
      </c>
      <c r="E5" s="48">
        <v>653603041</v>
      </c>
      <c r="G5" t="s">
        <v>34</v>
      </c>
      <c r="H5" s="10">
        <f t="shared" ref="H5:H6" si="1">0.95*N$2-B5</f>
        <v>-14736188.814846635</v>
      </c>
      <c r="I5" s="10">
        <f>0.95*O$2-C5</f>
        <v>-28475008.371009767</v>
      </c>
      <c r="J5" s="10">
        <f>0.95*P$2-D5</f>
        <v>-17411371.829238862</v>
      </c>
      <c r="K5" s="10">
        <f>0.95*Q$2-E5</f>
        <v>-26539839.015095234</v>
      </c>
      <c r="L5" s="10"/>
    </row>
    <row r="6" spans="1:17" x14ac:dyDescent="0.25">
      <c r="A6" s="47" t="s">
        <v>43</v>
      </c>
      <c r="B6" s="48">
        <v>351249905</v>
      </c>
      <c r="C6" s="48">
        <v>223720568</v>
      </c>
      <c r="D6" s="48">
        <v>123298265</v>
      </c>
      <c r="E6" s="48">
        <v>658531782</v>
      </c>
      <c r="G6" t="s">
        <v>43</v>
      </c>
      <c r="H6" s="10">
        <f t="shared" si="1"/>
        <v>-19245138.814846635</v>
      </c>
      <c r="I6" s="10">
        <f>0.95*O$2-C6</f>
        <v>-32107766.371009767</v>
      </c>
      <c r="J6" s="10">
        <f>0.95*P$2-D6</f>
        <v>-19852630.829238862</v>
      </c>
      <c r="K6" s="10">
        <f>0.95*Q$2-E6</f>
        <v>-31468580.015095234</v>
      </c>
      <c r="L6" s="10"/>
    </row>
    <row r="7" spans="1:17" x14ac:dyDescent="0.25">
      <c r="B7" s="10"/>
      <c r="C7" s="10"/>
      <c r="D7" s="10"/>
    </row>
    <row r="8" spans="1:17" x14ac:dyDescent="0.25">
      <c r="B8" s="10"/>
      <c r="C8" s="10"/>
      <c r="D8" s="10"/>
    </row>
    <row r="12" spans="1:17" x14ac:dyDescent="0.25">
      <c r="B12" s="16"/>
      <c r="C12" s="16"/>
      <c r="D12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5D9E1-6C68-4FF8-B3BD-D1E7E560ECAC}">
  <dimension ref="A1:Q15"/>
  <sheetViews>
    <sheetView workbookViewId="0">
      <selection activeCell="E15" sqref="E15"/>
    </sheetView>
  </sheetViews>
  <sheetFormatPr defaultRowHeight="15" x14ac:dyDescent="0.25"/>
  <cols>
    <col min="1" max="1" width="24.28515625" bestFit="1" customWidth="1"/>
    <col min="2" max="5" width="12.5703125" bestFit="1" customWidth="1"/>
    <col min="7" max="7" width="24.28515625" bestFit="1" customWidth="1"/>
    <col min="8" max="11" width="12.5703125" bestFit="1" customWidth="1"/>
    <col min="12" max="12" width="12.5703125" customWidth="1"/>
    <col min="13" max="13" width="12.140625" bestFit="1" customWidth="1"/>
    <col min="14" max="17" width="12.5703125" bestFit="1" customWidth="1"/>
  </cols>
  <sheetData>
    <row r="1" spans="1:17" x14ac:dyDescent="0.25">
      <c r="A1" s="46" t="s">
        <v>37</v>
      </c>
      <c r="B1" s="46" t="s">
        <v>1</v>
      </c>
      <c r="C1" s="46" t="s">
        <v>2</v>
      </c>
      <c r="D1" s="46" t="s">
        <v>3</v>
      </c>
      <c r="E1" s="46" t="s">
        <v>27</v>
      </c>
      <c r="G1" s="1" t="s">
        <v>38</v>
      </c>
      <c r="H1" s="46" t="s">
        <v>1</v>
      </c>
      <c r="I1" s="46" t="s">
        <v>2</v>
      </c>
      <c r="J1" s="46" t="s">
        <v>3</v>
      </c>
      <c r="K1" s="46" t="s">
        <v>27</v>
      </c>
      <c r="M1" t="s">
        <v>0</v>
      </c>
      <c r="N1" t="s">
        <v>1</v>
      </c>
      <c r="O1" t="s">
        <v>2</v>
      </c>
      <c r="P1" t="s">
        <v>47</v>
      </c>
    </row>
    <row r="2" spans="1:17" x14ac:dyDescent="0.25">
      <c r="A2" s="47" t="s">
        <v>42</v>
      </c>
      <c r="B2" s="48">
        <v>469953066</v>
      </c>
      <c r="C2" s="48">
        <v>313192468</v>
      </c>
      <c r="D2" s="48">
        <v>144932965</v>
      </c>
      <c r="E2" s="48">
        <v>928078500</v>
      </c>
      <c r="G2" t="s">
        <v>39</v>
      </c>
      <c r="H2" s="10">
        <f>0.95*N$2-B2</f>
        <v>-137948299.81484663</v>
      </c>
      <c r="I2" s="10">
        <f>0.95*O$2-C2</f>
        <v>-121579666.37100977</v>
      </c>
      <c r="J2" s="10">
        <f>0.95*P$2-D2</f>
        <v>-41487330.829238862</v>
      </c>
      <c r="K2" s="10">
        <f>0.95*Q$2-E2</f>
        <v>-301015298.01509523</v>
      </c>
      <c r="L2" s="10"/>
      <c r="M2" t="s">
        <v>46</v>
      </c>
      <c r="N2" s="34">
        <v>349478701.24752986</v>
      </c>
      <c r="O2" s="10">
        <v>201697685.92525288</v>
      </c>
      <c r="P2" s="10">
        <v>108890141.23238015</v>
      </c>
      <c r="Q2" s="14">
        <f>SUM(N2:P2)</f>
        <v>660066528.40516293</v>
      </c>
    </row>
    <row r="3" spans="1:17" x14ac:dyDescent="0.25">
      <c r="A3" s="47" t="s">
        <v>32</v>
      </c>
      <c r="B3" s="48">
        <v>18859094</v>
      </c>
      <c r="C3" s="48">
        <v>15610638</v>
      </c>
      <c r="D3" s="48">
        <v>10716114</v>
      </c>
      <c r="E3" s="48">
        <v>26651848</v>
      </c>
      <c r="G3" t="s">
        <v>32</v>
      </c>
      <c r="H3" s="10">
        <f>B3</f>
        <v>18859094</v>
      </c>
      <c r="I3" s="10">
        <f t="shared" ref="I3:K3" si="0">C3</f>
        <v>15610638</v>
      </c>
      <c r="J3" s="10">
        <f t="shared" si="0"/>
        <v>10716114</v>
      </c>
      <c r="K3" s="10">
        <f t="shared" si="0"/>
        <v>26651848</v>
      </c>
      <c r="L3" s="10"/>
    </row>
    <row r="4" spans="1:17" x14ac:dyDescent="0.25">
      <c r="A4" s="47" t="s">
        <v>33</v>
      </c>
      <c r="B4" s="48">
        <v>501305656</v>
      </c>
      <c r="C4" s="48">
        <v>339445930</v>
      </c>
      <c r="D4" s="48">
        <v>162795482</v>
      </c>
      <c r="E4" s="48">
        <v>972238606</v>
      </c>
      <c r="G4" t="s">
        <v>33</v>
      </c>
      <c r="H4" s="10">
        <f>0.95*N$2-B4</f>
        <v>-169300889.81484663</v>
      </c>
      <c r="I4" s="10">
        <f>0.95*O$2-C4</f>
        <v>-147833128.37100977</v>
      </c>
      <c r="J4" s="10">
        <f>0.95*P$2-D4</f>
        <v>-59349847.829238862</v>
      </c>
      <c r="K4" s="10">
        <f>0.95*Q$2-E4</f>
        <v>-345175404.01509523</v>
      </c>
      <c r="L4" s="10"/>
    </row>
    <row r="5" spans="1:17" x14ac:dyDescent="0.25">
      <c r="A5" s="47" t="s">
        <v>34</v>
      </c>
      <c r="B5" s="48">
        <v>513814270</v>
      </c>
      <c r="C5" s="48">
        <v>349006182</v>
      </c>
      <c r="D5" s="48">
        <v>169999924</v>
      </c>
      <c r="E5" s="48">
        <v>989935739</v>
      </c>
      <c r="G5" t="s">
        <v>34</v>
      </c>
      <c r="H5" s="10">
        <f t="shared" ref="H5:H6" si="1">0.95*N$2-B5</f>
        <v>-181809503.81484663</v>
      </c>
      <c r="I5" s="10">
        <f>0.95*O$2-C5</f>
        <v>-157393380.37100977</v>
      </c>
      <c r="J5" s="10">
        <f>0.95*P$2-D5</f>
        <v>-66554289.829238862</v>
      </c>
      <c r="K5" s="10">
        <f>0.95*Q$2-E5</f>
        <v>-362872537.01509523</v>
      </c>
      <c r="L5" s="10"/>
    </row>
    <row r="6" spans="1:17" x14ac:dyDescent="0.25">
      <c r="A6" s="47" t="s">
        <v>43</v>
      </c>
      <c r="B6" s="48">
        <v>518312665</v>
      </c>
      <c r="C6" s="48">
        <v>352960989</v>
      </c>
      <c r="D6" s="48">
        <v>173142523</v>
      </c>
      <c r="E6" s="48">
        <v>996124123</v>
      </c>
      <c r="G6" t="s">
        <v>43</v>
      </c>
      <c r="H6" s="10">
        <f t="shared" si="1"/>
        <v>-186307898.81484663</v>
      </c>
      <c r="I6" s="10">
        <f>0.95*O$2-C6</f>
        <v>-161348187.37100977</v>
      </c>
      <c r="J6" s="10">
        <f>0.95*P$2-D6</f>
        <v>-69696888.829238862</v>
      </c>
      <c r="K6" s="10">
        <f>0.95*Q$2-E6</f>
        <v>-369060921.01509523</v>
      </c>
      <c r="L6" s="10"/>
    </row>
    <row r="7" spans="1:17" x14ac:dyDescent="0.25">
      <c r="B7" s="10"/>
      <c r="C7" s="10"/>
      <c r="D7" s="10"/>
    </row>
    <row r="8" spans="1:17" x14ac:dyDescent="0.25">
      <c r="B8" s="10"/>
      <c r="C8" s="10"/>
      <c r="D8" s="10"/>
    </row>
    <row r="12" spans="1:17" x14ac:dyDescent="0.25">
      <c r="B12" s="16"/>
      <c r="C12" s="16"/>
      <c r="D12" s="16"/>
    </row>
    <row r="15" spans="1:17" x14ac:dyDescent="0.25">
      <c r="E15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miscellaenous</vt:lpstr>
      <vt:lpstr>helionis premium</vt:lpstr>
      <vt:lpstr>bayesia premium</vt:lpstr>
      <vt:lpstr>oryn premium</vt:lpstr>
      <vt:lpstr>combined premium breakup</vt:lpstr>
      <vt:lpstr>loss and return-short</vt:lpstr>
      <vt:lpstr>loss and return-long</vt:lpstr>
      <vt:lpstr>moderate stress</vt:lpstr>
      <vt:lpstr>extreme stress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Niklesh Anantha-Siva</dc:creator>
  <cp:lastModifiedBy>Niklesh Anantha-Siva</cp:lastModifiedBy>
  <dcterms:created xsi:type="dcterms:W3CDTF">2026-03-21T03:07:03Z</dcterms:created>
  <dcterms:modified xsi:type="dcterms:W3CDTF">2026-04-11T06:12:49Z</dcterms:modified>
</cp:coreProperties>
</file>